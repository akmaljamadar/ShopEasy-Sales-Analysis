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8_{FCACB3B8-B112-43BF-8F03-1A34F3E5B58D}" xr6:coauthVersionLast="47" xr6:coauthVersionMax="47" xr10:uidLastSave="{00000000-0000-0000-0000-000000000000}"/>
  <bookViews>
    <workbookView xWindow="-120" yWindow="-120" windowWidth="24240" windowHeight="13290" activeTab="2" xr2:uid="{00000000-000D-0000-FFFF-FFFF00000000}"/>
  </bookViews>
  <sheets>
    <sheet name="orders" sheetId="1" r:id="rId1"/>
    <sheet name="Report" sheetId="2" r:id="rId2"/>
    <sheet name="Dashboard" sheetId="3" r:id="rId3"/>
    <sheet name="pivot" sheetId="4" r:id="rId4"/>
    <sheet name="kpi" sheetId="5" r:id="rId5"/>
  </sheets>
  <definedNames>
    <definedName name="Slicer_category">#N/A</definedName>
    <definedName name="Slicer_category1">#N/A</definedName>
    <definedName name="Slicer_city">#N/A</definedName>
    <definedName name="Slicer_city1">#N/A</definedName>
    <definedName name="Slicer_Month">#N/A</definedName>
    <definedName name="Slicer_Month1">#N/A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5" l="1"/>
  <c r="F28" i="2"/>
  <c r="E28" i="2"/>
  <c r="D28" i="2"/>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B3" i="5" s="1"/>
  <c r="M2" i="1"/>
  <c r="L2" i="1"/>
  <c r="B4" i="5" s="1"/>
</calcChain>
</file>

<file path=xl/sharedStrings.xml><?xml version="1.0" encoding="utf-8"?>
<sst xmlns="http://schemas.openxmlformats.org/spreadsheetml/2006/main" count="580" uniqueCount="140">
  <si>
    <t>order_id</t>
  </si>
  <si>
    <t>order_date</t>
  </si>
  <si>
    <t>customer_id</t>
  </si>
  <si>
    <t>customer_name</t>
  </si>
  <si>
    <t>product_id</t>
  </si>
  <si>
    <t>product_name</t>
  </si>
  <si>
    <t>category</t>
  </si>
  <si>
    <t>quantity</t>
  </si>
  <si>
    <t>unit_price</t>
  </si>
  <si>
    <t>discount_pct</t>
  </si>
  <si>
    <t>city</t>
  </si>
  <si>
    <t>Total_Sales</t>
  </si>
  <si>
    <t>Month</t>
  </si>
  <si>
    <t>C101</t>
  </si>
  <si>
    <t>Rahul Sharma</t>
  </si>
  <si>
    <t>P201</t>
  </si>
  <si>
    <t>Cotton Kurta</t>
  </si>
  <si>
    <t>Clothing</t>
  </si>
  <si>
    <t>Mumbai</t>
  </si>
  <si>
    <t>C102</t>
  </si>
  <si>
    <t>Priya Mehta</t>
  </si>
  <si>
    <t>P305</t>
  </si>
  <si>
    <t>Bluetooth Earphones</t>
  </si>
  <si>
    <t>Electronics</t>
  </si>
  <si>
    <t>Pune</t>
  </si>
  <si>
    <t>C103</t>
  </si>
  <si>
    <t>Ankit Verma</t>
  </si>
  <si>
    <t>P110</t>
  </si>
  <si>
    <t>Steel Water Bottle</t>
  </si>
  <si>
    <t>Home &amp; Kitchen</t>
  </si>
  <si>
    <t>Delhi</t>
  </si>
  <si>
    <t>P402</t>
  </si>
  <si>
    <t>Running Shoes</t>
  </si>
  <si>
    <t>Footwear</t>
  </si>
  <si>
    <t>C104</t>
  </si>
  <si>
    <t>Sneha Patil</t>
  </si>
  <si>
    <t>C105</t>
  </si>
  <si>
    <t>Rohan Das</t>
  </si>
  <si>
    <t>Bangalore</t>
  </si>
  <si>
    <t>C106</t>
  </si>
  <si>
    <t>Kavya Nair</t>
  </si>
  <si>
    <t>P510</t>
  </si>
  <si>
    <t>Face Moisturizer</t>
  </si>
  <si>
    <t>Beauty</t>
  </si>
  <si>
    <t>Chennai</t>
  </si>
  <si>
    <t>C107</t>
  </si>
  <si>
    <t>Amit Singh</t>
  </si>
  <si>
    <t>P601</t>
  </si>
  <si>
    <t>Yoga Mat</t>
  </si>
  <si>
    <t>Sports</t>
  </si>
  <si>
    <t>C108</t>
  </si>
  <si>
    <t>Divya Joshi</t>
  </si>
  <si>
    <t>Hyderabad</t>
  </si>
  <si>
    <t>C109</t>
  </si>
  <si>
    <t>Neha Gupta</t>
  </si>
  <si>
    <t>C110</t>
  </si>
  <si>
    <t>Vikram Rao</t>
  </si>
  <si>
    <t>P701</t>
  </si>
  <si>
    <t>Notebook Set</t>
  </si>
  <si>
    <t>Stationery</t>
  </si>
  <si>
    <t>C111</t>
  </si>
  <si>
    <t>Pooja Kulkarni</t>
  </si>
  <si>
    <t>C112</t>
  </si>
  <si>
    <t>Arjun Tiwari</t>
  </si>
  <si>
    <t>C113</t>
  </si>
  <si>
    <t>Meera Iyer</t>
  </si>
  <si>
    <t>C114</t>
  </si>
  <si>
    <t>Suresh Kumar</t>
  </si>
  <si>
    <t>C115</t>
  </si>
  <si>
    <t>Anjali Shah</t>
  </si>
  <si>
    <t>Ahmedabad</t>
  </si>
  <si>
    <t>C116</t>
  </si>
  <si>
    <t>Karan Malhotra</t>
  </si>
  <si>
    <t>C117</t>
  </si>
  <si>
    <t>Ritu Sharma</t>
  </si>
  <si>
    <t>Jaipur</t>
  </si>
  <si>
    <t>C118</t>
  </si>
  <si>
    <t>Deepak Pillai</t>
  </si>
  <si>
    <t>C119</t>
  </si>
  <si>
    <t>Sonal Desai</t>
  </si>
  <si>
    <t>Surat</t>
  </si>
  <si>
    <t>C120</t>
  </si>
  <si>
    <t>Ishaan Bose</t>
  </si>
  <si>
    <t>Kolkata</t>
  </si>
  <si>
    <t>ShopEasy  —  Customer Repeat Tracker</t>
  </si>
  <si>
    <t>Loyalty &amp; purchase frequency analysis  |  Jan – Jun</t>
  </si>
  <si>
    <t>Total Customers</t>
  </si>
  <si>
    <t>Total Orders</t>
  </si>
  <si>
    <t>Repeat Rate</t>
  </si>
  <si>
    <t>Avg Orders / Customer</t>
  </si>
  <si>
    <t>Avg Lifetime Value</t>
  </si>
  <si>
    <t>20</t>
  </si>
  <si>
    <t>70</t>
  </si>
  <si>
    <t>100%</t>
  </si>
  <si>
    <t>3.5</t>
  </si>
  <si>
    <t>Rs.4,206</t>
  </si>
  <si>
    <t>#</t>
  </si>
  <si>
    <t>Customer ID</t>
  </si>
  <si>
    <t>Customer Name</t>
  </si>
  <si>
    <t>Orders</t>
  </si>
  <si>
    <t>Total Revenue</t>
  </si>
  <si>
    <t>Avg Order Value</t>
  </si>
  <si>
    <t>Active Months</t>
  </si>
  <si>
    <t>Loyalty Tier</t>
  </si>
  <si>
    <t>Jan · Feb · Mar · May · Jun</t>
  </si>
  <si>
    <t>Top Buyer</t>
  </si>
  <si>
    <t>Jan · Apr · Jun</t>
  </si>
  <si>
    <t>Loyal</t>
  </si>
  <si>
    <t>Feb · Mar · May · Jun</t>
  </si>
  <si>
    <t>Jan · Feb · Apr · Jun</t>
  </si>
  <si>
    <t>Jan · Mar · May</t>
  </si>
  <si>
    <t>Jan · Mar · Apr · Jun</t>
  </si>
  <si>
    <t>Apr · May · Jun</t>
  </si>
  <si>
    <t>Repeat</t>
  </si>
  <si>
    <t>Feb · Mar · May</t>
  </si>
  <si>
    <t>Jan · Feb · Jun</t>
  </si>
  <si>
    <t>Mar · Apr · May</t>
  </si>
  <si>
    <t>Mar · Apr · Jun</t>
  </si>
  <si>
    <t>Feb · Apr · May</t>
  </si>
  <si>
    <t>TOTAL / AVERAGE</t>
  </si>
  <si>
    <t>Loyalty Tier Guide</t>
  </si>
  <si>
    <t>6+ orders — highest loyalty champion</t>
  </si>
  <si>
    <t>4–5 orders — strong repeat buyer</t>
  </si>
  <si>
    <t>2–3 orders — returning customer</t>
  </si>
  <si>
    <t>Category wise sales</t>
  </si>
  <si>
    <t>City wise sale</t>
  </si>
  <si>
    <t>Month wise sale</t>
  </si>
  <si>
    <t>Row Labels</t>
  </si>
  <si>
    <t>Sum of Total_Sales</t>
  </si>
  <si>
    <t>Jan</t>
  </si>
  <si>
    <t>Feb</t>
  </si>
  <si>
    <t>Mar</t>
  </si>
  <si>
    <t>Apr</t>
  </si>
  <si>
    <t>May</t>
  </si>
  <si>
    <t>Jun</t>
  </si>
  <si>
    <t>Grand Total</t>
  </si>
  <si>
    <t>Kpi</t>
  </si>
  <si>
    <t>Total Sales</t>
  </si>
  <si>
    <t>Average Sales</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</si>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</sst>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1"/>
      <color theme="1"/>
      <name val="Aptos Narrow"/>
      <family val="2"/>
      <scheme val="minor"/>
    </font>
    <font>
      <b/>
      <sz val="18"/>
      <color theme="1"/>
      <name val="Aptos Narrow"/>
      <family val="2"/>
      <scheme val="minor"/>
    </font>
    <font>
      <b/>
      <sz val="15"/>
      <color rgb="FFFFFFFF"/>
      <name val="Arial"/>
    </font>
    <font>
      <i/>
      <sz val="10"/>
      <color rgb="FFA0A8C0"/>
      <name val="Arial"/>
    </font>
    <font>
      <sz val="9"/>
      <color rgb="FFB0B8D0"/>
      <name val="Arial"/>
    </font>
    <font>
      <b/>
      <sz val="17"/>
      <color rgb="FF1D9E75"/>
      <name val="Arial"/>
    </font>
    <font>
      <b/>
      <sz val="17"/>
      <color rgb="FF0F3460"/>
      <name val="Arial"/>
    </font>
    <font>
      <b/>
      <sz val="17"/>
      <color rgb="FFF5A623"/>
      <name val="Arial"/>
    </font>
    <font>
      <b/>
      <sz val="17"/>
      <color rgb="FFE94560"/>
      <name val="Arial"/>
    </font>
    <font>
      <b/>
      <sz val="17"/>
      <color rgb="FF8E44AD"/>
      <name val="Arial"/>
    </font>
    <font>
      <b/>
      <sz val="10"/>
      <color rgb="FFFFFFFF"/>
      <name val="Arial"/>
    </font>
    <font>
      <b/>
      <sz val="10"/>
      <color rgb="FF1A1A2E"/>
      <name val="Arial"/>
    </font>
    <font>
      <sz val="10"/>
      <color rgb="FF1A1A2E"/>
      <name val="Arial"/>
    </font>
    <font>
      <b/>
      <sz val="10"/>
      <color rgb="FFF5A623"/>
      <name val="Arial"/>
    </font>
    <font>
      <b/>
      <sz val="10"/>
      <color rgb="FF1D9E75"/>
      <name val="Arial"/>
    </font>
    <font>
      <b/>
      <sz val="10"/>
      <color rgb="FF0F3460"/>
      <name val="Arial"/>
    </font>
  </fonts>
  <fills count="11">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1A1A2E"/>
        <bgColor rgb="FF1A1A2E"/>
      </patternFill>
    </fill>
    <fill>
      <patternFill patternType="solid">
        <fgColor rgb="FF16213E"/>
        <bgColor rgb="FF16213E"/>
      </patternFill>
    </fill>
    <fill>
      <patternFill patternType="solid">
        <fgColor rgb="FF0F3460"/>
        <bgColor rgb="FF0F3460"/>
      </patternFill>
    </fill>
    <fill>
      <patternFill patternType="solid">
        <fgColor rgb="FFFFFBF0"/>
        <bgColor rgb="FFFFFBF0"/>
      </patternFill>
    </fill>
    <fill>
      <patternFill patternType="solid">
        <fgColor rgb="FFF0FAF6"/>
        <bgColor rgb="FFF0FAF6"/>
      </patternFill>
    </fill>
    <fill>
      <patternFill patternType="solid">
        <fgColor rgb="FFFFFFFF"/>
        <bgColor rgb="FFFFFFFF"/>
      </patternFill>
    </fill>
    <fill>
      <patternFill patternType="solid">
        <fgColor rgb="FFF4F6FA"/>
        <bgColor rgb="FFF4F6FA"/>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A2040"/>
      </left>
      <right style="thin">
        <color rgb="FF0A2040"/>
      </right>
      <top style="thin">
        <color rgb="FF0A2040"/>
      </top>
      <bottom style="thin">
        <color rgb="FF0A2040"/>
      </bottom>
      <diagonal/>
    </border>
    <border>
      <left style="thin">
        <color rgb="FFD0D7E8"/>
      </left>
      <right style="thin">
        <color rgb="FFD0D7E8"/>
      </right>
      <top style="thin">
        <color rgb="FFD0D7E8"/>
      </top>
      <bottom style="thin">
        <color rgb="FFD0D7E8"/>
      </bottom>
      <diagonal/>
    </border>
    <border>
      <left/>
      <right/>
      <top style="thin">
        <color rgb="FF0A2040"/>
      </top>
      <bottom style="thin">
        <color rgb="FF0A2040"/>
      </bottom>
      <diagonal/>
    </border>
    <border>
      <left/>
      <right style="thin">
        <color rgb="FF0A2040"/>
      </right>
      <top style="thin">
        <color rgb="FF0A2040"/>
      </top>
      <bottom style="thin">
        <color rgb="FF0A2040"/>
      </bottom>
      <diagonal/>
    </border>
  </borders>
  <cellStyleXfs count="1">
    <xf numFmtId="0" fontId="0" fillId="0" borderId="0"/>
  </cellStyleXfs>
  <cellXfs count="58">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14" fontId="0" fillId="0" borderId="1" xfId="0" applyNumberFormat="1" applyBorder="1"/>
    <xf numFmtId="0" fontId="0" fillId="0" borderId="1" xfId="0" applyBorder="1"/>
    <xf numFmtId="0" fontId="0" fillId="0" borderId="6" xfId="0" applyBorder="1"/>
    <xf numFmtId="0" fontId="0" fillId="0" borderId="7" xfId="0" applyBorder="1"/>
    <xf numFmtId="14" fontId="0" fillId="0" borderId="8" xfId="0" applyNumberFormat="1"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3" borderId="0" xfId="0" applyFill="1"/>
    <xf numFmtId="0" fontId="11" fillId="6" borderId="10" xfId="0" applyFont="1" applyFill="1" applyBorder="1" applyAlignment="1">
      <alignment horizontal="center" vertical="center" wrapText="1"/>
    </xf>
    <xf numFmtId="0" fontId="12" fillId="7" borderId="11" xfId="0" applyFont="1" applyFill="1" applyBorder="1" applyAlignment="1">
      <alignment horizontal="center" vertical="center" wrapText="1"/>
    </xf>
    <xf numFmtId="0" fontId="13" fillId="7" borderId="11" xfId="0" applyFont="1" applyFill="1" applyBorder="1" applyAlignment="1">
      <alignment horizontal="center" vertical="center" wrapText="1"/>
    </xf>
    <xf numFmtId="0" fontId="12" fillId="7" borderId="11" xfId="0" applyFont="1" applyFill="1" applyBorder="1" applyAlignment="1">
      <alignment horizontal="left" vertical="center" wrapText="1"/>
    </xf>
    <xf numFmtId="0" fontId="14" fillId="7" borderId="11" xfId="0" applyFont="1" applyFill="1" applyBorder="1" applyAlignment="1">
      <alignment horizontal="center" vertical="center" wrapText="1"/>
    </xf>
    <xf numFmtId="0" fontId="12" fillId="8" borderId="11" xfId="0" applyFont="1" applyFill="1" applyBorder="1" applyAlignment="1">
      <alignment horizontal="center" vertical="center" wrapText="1"/>
    </xf>
    <xf numFmtId="0" fontId="13" fillId="8" borderId="11" xfId="0" applyFont="1" applyFill="1" applyBorder="1" applyAlignment="1">
      <alignment horizontal="center" vertical="center" wrapText="1"/>
    </xf>
    <xf numFmtId="0" fontId="12" fillId="8" borderId="11" xfId="0" applyFont="1" applyFill="1" applyBorder="1" applyAlignment="1">
      <alignment horizontal="left" vertical="center" wrapText="1"/>
    </xf>
    <xf numFmtId="0" fontId="15" fillId="8" borderId="11" xfId="0" applyFont="1" applyFill="1" applyBorder="1" applyAlignment="1">
      <alignment horizontal="center" vertical="center" wrapText="1"/>
    </xf>
    <xf numFmtId="0" fontId="12" fillId="9" borderId="11" xfId="0" applyFont="1" applyFill="1" applyBorder="1" applyAlignment="1">
      <alignment horizontal="center" vertical="center" wrapText="1"/>
    </xf>
    <xf numFmtId="0" fontId="13" fillId="9" borderId="11" xfId="0" applyFont="1" applyFill="1" applyBorder="1" applyAlignment="1">
      <alignment horizontal="center" vertical="center" wrapText="1"/>
    </xf>
    <xf numFmtId="0" fontId="12" fillId="9" borderId="11" xfId="0" applyFont="1" applyFill="1" applyBorder="1" applyAlignment="1">
      <alignment horizontal="left" vertical="center" wrapText="1"/>
    </xf>
    <xf numFmtId="0" fontId="16" fillId="9" borderId="11" xfId="0" applyFont="1" applyFill="1" applyBorder="1" applyAlignment="1">
      <alignment horizontal="center" vertical="center" wrapText="1"/>
    </xf>
    <xf numFmtId="0" fontId="12" fillId="10" borderId="11" xfId="0" applyFont="1" applyFill="1" applyBorder="1" applyAlignment="1">
      <alignment horizontal="center" vertical="center" wrapText="1"/>
    </xf>
    <xf numFmtId="0" fontId="13" fillId="10" borderId="11" xfId="0" applyFont="1" applyFill="1" applyBorder="1" applyAlignment="1">
      <alignment horizontal="center" vertical="center" wrapText="1"/>
    </xf>
    <xf numFmtId="0" fontId="12" fillId="10" borderId="11" xfId="0" applyFont="1" applyFill="1" applyBorder="1" applyAlignment="1">
      <alignment horizontal="left" vertical="center" wrapText="1"/>
    </xf>
    <xf numFmtId="0" fontId="16" fillId="10" borderId="11"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11" fillId="6" borderId="0" xfId="0" applyFont="1" applyFill="1" applyAlignment="1">
      <alignment horizontal="left" vertical="center" wrapText="1"/>
    </xf>
    <xf numFmtId="0" fontId="0" fillId="0" borderId="0" xfId="0"/>
    <xf numFmtId="0" fontId="7" fillId="5" borderId="0" xfId="0" applyFont="1" applyFill="1" applyAlignment="1">
      <alignment horizontal="center" vertical="center" wrapText="1"/>
    </xf>
    <xf numFmtId="0" fontId="13" fillId="7" borderId="0" xfId="0" applyFont="1" applyFill="1" applyAlignment="1">
      <alignment horizontal="left" vertical="center" wrapText="1"/>
    </xf>
    <xf numFmtId="0" fontId="8" fillId="5" borderId="0" xfId="0" applyFont="1" applyFill="1" applyAlignment="1">
      <alignment horizontal="center" vertical="center" wrapText="1"/>
    </xf>
    <xf numFmtId="0" fontId="3" fillId="4" borderId="0" xfId="0" applyFont="1" applyFill="1" applyAlignment="1">
      <alignment horizontal="center" vertical="center" wrapText="1"/>
    </xf>
    <xf numFmtId="0" fontId="5" fillId="5" borderId="0" xfId="0" applyFont="1" applyFill="1" applyAlignment="1">
      <alignment horizontal="center" vertical="center" wrapText="1"/>
    </xf>
    <xf numFmtId="0" fontId="11" fillId="4" borderId="10" xfId="0" applyFont="1" applyFill="1" applyBorder="1" applyAlignment="1">
      <alignment horizontal="center" vertical="center" wrapText="1"/>
    </xf>
    <xf numFmtId="0" fontId="0" fillId="0" borderId="12" xfId="0" applyBorder="1"/>
    <xf numFmtId="0" fontId="0" fillId="0" borderId="13" xfId="0" applyBorder="1"/>
    <xf numFmtId="0" fontId="13" fillId="8" borderId="0" xfId="0" applyFont="1" applyFill="1" applyAlignment="1">
      <alignment horizontal="left" vertical="center" wrapText="1"/>
    </xf>
    <xf numFmtId="0" fontId="16" fillId="10" borderId="0" xfId="0" applyFont="1" applyFill="1" applyAlignment="1">
      <alignment horizontal="left" vertical="center" wrapText="1"/>
    </xf>
    <xf numFmtId="0" fontId="4" fillId="4" borderId="0" xfId="0" applyFont="1" applyFill="1" applyAlignment="1">
      <alignment horizontal="center" vertical="center" wrapText="1"/>
    </xf>
    <xf numFmtId="0" fontId="6" fillId="5" borderId="0" xfId="0" applyFont="1" applyFill="1" applyAlignment="1">
      <alignment horizontal="center" vertical="center" wrapText="1"/>
    </xf>
    <xf numFmtId="0" fontId="9" fillId="5" borderId="0" xfId="0" applyFont="1" applyFill="1" applyAlignment="1">
      <alignment horizontal="center" vertical="center" wrapText="1"/>
    </xf>
    <xf numFmtId="0" fontId="15" fillId="8" borderId="0" xfId="0" applyFont="1" applyFill="1" applyAlignment="1">
      <alignment horizontal="left" vertical="center" wrapText="1"/>
    </xf>
    <xf numFmtId="0" fontId="10" fillId="5" borderId="0" xfId="0" applyFont="1" applyFill="1" applyAlignment="1">
      <alignment horizontal="center" vertical="center" wrapText="1"/>
    </xf>
    <xf numFmtId="0" fontId="13" fillId="10" borderId="0" xfId="0" applyFont="1" applyFill="1" applyAlignment="1">
      <alignment horizontal="left" vertical="center" wrapText="1"/>
    </xf>
    <xf numFmtId="0" fontId="14" fillId="7" borderId="0" xfId="0" applyFont="1" applyFill="1" applyAlignment="1">
      <alignment horizontal="left" vertical="center" wrapText="1"/>
    </xf>
    <xf numFmtId="0" fontId="1" fillId="0" borderId="0" xfId="0" applyFont="1" applyAlignment="1">
      <alignment horizontal="center"/>
    </xf>
    <xf numFmtId="0" fontId="2" fillId="2" borderId="1" xfId="0" applyFont="1" applyFill="1" applyBorder="1" applyAlignment="1">
      <alignment horizontal="center" vertical="center"/>
    </xf>
    <xf numFmtId="0" fontId="0" fillId="0" borderId="7" xfId="0" applyBorder="1"/>
    <xf numFmtId="0" fontId="0" fillId="0" borderId="4" xfId="0" applyBorder="1"/>
    <xf numFmtId="0" fontId="0" fillId="0" borderId="2" xfId="0" applyBorder="1"/>
    <xf numFmtId="0" fontId="0" fillId="0" borderId="0" xfId="0" applyNumberFormat="1"/>
  </cellXfs>
  <cellStyles count="1">
    <cellStyle name="Normal" xfId="0" builtinId="0"/>
  </cellStyles>
  <dxfs count="17">
    <dxf>
      <numFmt numFmtId="0" formatCode="Genera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border>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[ShopEasy_Analyst.xlsx]pivot!PivotTable1</c:name>
    <c:fmtId val="4"/>
  </c:pivotSource>
  <c:chart>
    <c:title>
      <c:tx>
        <c:rich>
          <a:bodyPr rot="0" spcFirstLastPara="1" vertOverflow="ellipsis" vert="horz" wrap="square" anchor="ctr" anchorCtr="1"/>
          <a:lstStyle/>
          <a:p>
            <a:pPr>
              <a:defRPr b="0" i="0" strike="noStrike" kern="1200" baseline="0">
                <a:solidFill>
                  <a:schemeClr val="dk1">
                    <a:lumMod val="65000"/>
                    <a:lumOff val="35000"/>
                  </a:schemeClr>
                </a:solidFill>
                <a:latin typeface="+mn-lt"/>
                <a:ea typeface="+mn-ea"/>
                <a:cs typeface="+mn-cs"/>
              </a:defRPr>
            </a:pPr>
            <a:r>
              <a:rPr lang="en-US" b="1">
                <a:solidFill>
                  <a:schemeClr val="tx1"/>
                </a:solidFill>
              </a:rPr>
              <a:t>CATEGORY</a:t>
            </a:r>
          </a:p>
        </c:rich>
      </c:tx>
      <c:overlay val="0"/>
      <c:spPr>
        <a:noFill/>
        <a:ln>
          <a:noFill/>
          <a:prstDash val="solid"/>
        </a:ln>
      </c:spPr>
    </c:title>
    <c:autoTitleDeleted val="0"/>
    <c:pivotFmts>
      <c:pivotFmt>
        <c:idx val="0"/>
        <c:spPr>
          <a:gradFill>
            <a:gsLst>
              <a:gs pos="0">
                <a:schemeClr val="accent1"/>
              </a:gs>
              <a:gs pos="100000">
                <a:schemeClr val="accent1">
                  <a:lumMod val="84000"/>
                </a:schemeClr>
              </a:gs>
            </a:gsLst>
            <a:lin ang="5400000" scaled="1"/>
          </a:gradFill>
          <a:ln>
            <a:noFill/>
            <a:prstDash val="solid"/>
          </a:ln>
        </c:spPr>
        <c:marker>
          <c:symbol val="circle"/>
          <c:size val="6"/>
          <c:spPr>
            <a:gradFill>
              <a:gsLst>
                <a:gs pos="0">
                  <a:schemeClr val="accent1"/>
                </a:gs>
                <a:gs pos="100000">
                  <a:schemeClr val="accent1">
                    <a:lumMod val="84000"/>
                  </a:schemeClr>
                </a:gs>
              </a:gsLst>
              <a:lin ang="5400000" scaled="1"/>
            </a:gradFill>
            <a:ln>
              <a:noFill/>
              <a:prstDash val="solid"/>
            </a:ln>
          </c:spPr>
        </c:marke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c:f>
              <c:strCache>
                <c:ptCount val="1"/>
                <c:pt idx="0">
                  <c:v>Total</c:v>
                </c:pt>
              </c:strCache>
            </c:strRef>
          </c:tx>
          <c:spPr>
            <a:gradFill>
              <a:gsLst>
                <a:gs pos="0">
                  <a:schemeClr val="accent1"/>
                </a:gs>
                <a:gs pos="100000">
                  <a:schemeClr val="accent1">
                    <a:lumMod val="84000"/>
                  </a:schemeClr>
                </a:gs>
              </a:gsLst>
              <a:lin ang="5400000" scaled="1"/>
            </a:gra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pivot!$A$3:$A$10</c:f>
              <c:strCache>
                <c:ptCount val="7"/>
                <c:pt idx="0">
                  <c:v>Beauty</c:v>
                </c:pt>
                <c:pt idx="1">
                  <c:v>Clothing</c:v>
                </c:pt>
                <c:pt idx="2">
                  <c:v>Electronics</c:v>
                </c:pt>
                <c:pt idx="3">
                  <c:v>Footwear</c:v>
                </c:pt>
                <c:pt idx="4">
                  <c:v>Home &amp; Kitchen</c:v>
                </c:pt>
                <c:pt idx="5">
                  <c:v>Sports</c:v>
                </c:pt>
                <c:pt idx="6">
                  <c:v>Stationery</c:v>
                </c:pt>
              </c:strCache>
            </c:strRef>
          </c:cat>
          <c:val>
            <c:numRef>
              <c:f>pivot!$B$3:$B$10</c:f>
              <c:numCache>
                <c:formatCode>General</c:formatCode>
                <c:ptCount val="7"/>
                <c:pt idx="0">
                  <c:v>9643.9</c:v>
                </c:pt>
                <c:pt idx="1">
                  <c:v>11601.75</c:v>
                </c:pt>
                <c:pt idx="2">
                  <c:v>21433.5</c:v>
                </c:pt>
                <c:pt idx="3">
                  <c:v>20034.45</c:v>
                </c:pt>
                <c:pt idx="4">
                  <c:v>7538.4</c:v>
                </c:pt>
                <c:pt idx="5">
                  <c:v>9228.4499999999989</c:v>
                </c:pt>
                <c:pt idx="6">
                  <c:v>4636.7</c:v>
                </c:pt>
              </c:numCache>
            </c:numRef>
          </c:val>
          <c:extLst>
            <c:ext xmlns:c16="http://schemas.microsoft.com/office/drawing/2014/chart" uri="{C3380CC4-5D6E-409C-BE32-E72D297353CC}">
              <c16:uniqueId val="{00000000-4F50-41B7-8C26-D3186D7788B2}"/>
            </c:ext>
          </c:extLst>
        </c:ser>
        <c:dLbls>
          <c:dLblPos val="inEnd"/>
          <c:showLegendKey val="0"/>
          <c:showVal val="1"/>
          <c:showCatName val="0"/>
          <c:showSerName val="0"/>
          <c:showPercent val="0"/>
          <c:showBubbleSize val="0"/>
        </c:dLbls>
        <c:gapWidth val="41"/>
        <c:axId val="1386712256"/>
        <c:axId val="1386712736"/>
      </c:barChart>
      <c:catAx>
        <c:axId val="1386712256"/>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dk1">
                    <a:lumMod val="65000"/>
                    <a:lumOff val="35000"/>
                  </a:schemeClr>
                </a:solidFill>
                <a:latin typeface="+mn-lt"/>
                <a:ea typeface="+mn-ea"/>
                <a:cs typeface="+mn-cs"/>
              </a:defRPr>
            </a:pPr>
            <a:endParaRPr lang="en-US"/>
          </a:p>
        </c:txPr>
        <c:crossAx val="1386712736"/>
        <c:crosses val="autoZero"/>
        <c:auto val="1"/>
        <c:lblAlgn val="ctr"/>
        <c:lblOffset val="100"/>
        <c:noMultiLvlLbl val="0"/>
      </c:catAx>
      <c:valAx>
        <c:axId val="1386712736"/>
        <c:scaling>
          <c:orientation val="minMax"/>
        </c:scaling>
        <c:delete val="1"/>
        <c:axPos val="l"/>
        <c:numFmt formatCode="General" sourceLinked="1"/>
        <c:majorTickMark val="none"/>
        <c:minorTickMark val="none"/>
        <c:tickLblPos val="nextTo"/>
        <c:crossAx val="1386712256"/>
        <c:crosses val="autoZero"/>
        <c:crossBetween val="between"/>
      </c:valAx>
      <c:spPr>
        <a:solidFill>
          <a:schemeClr val="bg1">
            <a:lumMod val="95000"/>
          </a:schemeClr>
        </a:solidFill>
      </c:spPr>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1"/>
  </c:chart>
  <c:spPr>
    <a:solidFill>
      <a:schemeClr val="bg1">
        <a:lumMod val="9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[ShopEasy_Analyst.xlsx]pivot!PivotTable3</c:name>
    <c:fmtId val="2"/>
  </c:pivotSource>
  <c:chart>
    <c:title>
      <c:tx>
        <c:rich>
          <a:bodyPr rot="0" spcFirstLastPara="1" vertOverflow="ellipsis" vert="horz" wrap="square" anchor="ctr" anchorCtr="1"/>
          <a:lstStyle/>
          <a:p>
            <a:pPr>
              <a:defRPr b="0" i="0" strike="noStrike" kern="1200" baseline="0">
                <a:solidFill>
                  <a:schemeClr val="tx1"/>
                </a:solidFill>
                <a:latin typeface="+mn-lt"/>
                <a:ea typeface="+mn-ea"/>
                <a:cs typeface="+mn-cs"/>
              </a:defRPr>
            </a:pPr>
            <a:r>
              <a:rPr lang="en-IN" b="1">
                <a:solidFill>
                  <a:schemeClr val="tx1"/>
                </a:solidFill>
              </a:rPr>
              <a:t>MONTH</a:t>
            </a:r>
          </a:p>
        </c:rich>
      </c:tx>
      <c:overlay val="0"/>
      <c:spPr>
        <a:noFill/>
        <a:ln>
          <a:noFill/>
          <a:prstDash val="solid"/>
        </a:ln>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pivot!$H$2</c:f>
              <c:strCache>
                <c:ptCount val="1"/>
                <c:pt idx="0">
                  <c:v>Total</c:v>
                </c:pt>
              </c:strCache>
            </c:strRef>
          </c:tx>
          <c:spPr>
            <a:gradFill>
              <a:gsLst>
                <a:gs pos="0">
                  <a:schemeClr val="accent1"/>
                </a:gs>
                <a:gs pos="100000">
                  <a:schemeClr val="accent1">
                    <a:lumMod val="84000"/>
                  </a:schemeClr>
                </a:gs>
              </a:gsLst>
              <a:lin ang="5400000" scaled="1"/>
            </a:gra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1" i="0"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pivot!$G$3:$G$9</c:f>
              <c:strCache>
                <c:ptCount val="6"/>
                <c:pt idx="0">
                  <c:v>Jan</c:v>
                </c:pt>
                <c:pt idx="1">
                  <c:v>Feb</c:v>
                </c:pt>
                <c:pt idx="2">
                  <c:v>Mar</c:v>
                </c:pt>
                <c:pt idx="3">
                  <c:v>Apr</c:v>
                </c:pt>
                <c:pt idx="4">
                  <c:v>May</c:v>
                </c:pt>
                <c:pt idx="5">
                  <c:v>Jun</c:v>
                </c:pt>
              </c:strCache>
            </c:strRef>
          </c:cat>
          <c:val>
            <c:numRef>
              <c:f>pivot!$H$3:$H$9</c:f>
              <c:numCache>
                <c:formatCode>General</c:formatCode>
                <c:ptCount val="6"/>
                <c:pt idx="0">
                  <c:v>13163</c:v>
                </c:pt>
                <c:pt idx="1">
                  <c:v>11216</c:v>
                </c:pt>
                <c:pt idx="2">
                  <c:v>14775.85</c:v>
                </c:pt>
                <c:pt idx="3">
                  <c:v>14031.45</c:v>
                </c:pt>
                <c:pt idx="4">
                  <c:v>15063.7</c:v>
                </c:pt>
                <c:pt idx="5">
                  <c:v>15867.15</c:v>
                </c:pt>
              </c:numCache>
            </c:numRef>
          </c:val>
          <c:extLst>
            <c:ext xmlns:c16="http://schemas.microsoft.com/office/drawing/2014/chart" uri="{C3380CC4-5D6E-409C-BE32-E72D297353CC}">
              <c16:uniqueId val="{00000000-D9F2-4EEB-804B-E6B84FA51844}"/>
            </c:ext>
          </c:extLst>
        </c:ser>
        <c:dLbls>
          <c:dLblPos val="inEnd"/>
          <c:showLegendKey val="0"/>
          <c:showVal val="1"/>
          <c:showCatName val="0"/>
          <c:showSerName val="0"/>
          <c:showPercent val="0"/>
          <c:showBubbleSize val="0"/>
        </c:dLbls>
        <c:gapWidth val="41"/>
        <c:axId val="1386731456"/>
        <c:axId val="1386731936"/>
      </c:barChart>
      <c:catAx>
        <c:axId val="1386731456"/>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dk1">
                    <a:lumMod val="65000"/>
                    <a:lumOff val="35000"/>
                  </a:schemeClr>
                </a:solidFill>
                <a:latin typeface="+mn-lt"/>
                <a:ea typeface="+mn-ea"/>
                <a:cs typeface="+mn-cs"/>
              </a:defRPr>
            </a:pPr>
            <a:endParaRPr lang="en-US"/>
          </a:p>
        </c:txPr>
        <c:crossAx val="1386731936"/>
        <c:crosses val="autoZero"/>
        <c:auto val="1"/>
        <c:lblAlgn val="ctr"/>
        <c:lblOffset val="100"/>
        <c:noMultiLvlLbl val="0"/>
      </c:catAx>
      <c:valAx>
        <c:axId val="1386731936"/>
        <c:scaling>
          <c:orientation val="minMax"/>
        </c:scaling>
        <c:delete val="1"/>
        <c:axPos val="l"/>
        <c:numFmt formatCode="General" sourceLinked="1"/>
        <c:majorTickMark val="none"/>
        <c:minorTickMark val="none"/>
        <c:tickLblPos val="nextTo"/>
        <c:crossAx val="1386731456"/>
        <c:crosses val="autoZero"/>
        <c:crossBetween val="between"/>
      </c:valAx>
      <c:spPr>
        <a:solidFill>
          <a:schemeClr val="bg1">
            <a:lumMod val="95000"/>
          </a:schemeClr>
        </a:solidFill>
      </c:spPr>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1"/>
  </c:chart>
  <c:spPr>
    <a:solidFill>
      <a:schemeClr val="bg1">
        <a:lumMod val="9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[ShopEasy_Analyst.xlsx]pivot!PivotTable2</c:name>
    <c:fmtId val="2"/>
  </c:pivotSource>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b="1">
                <a:solidFill>
                  <a:schemeClr val="tx1"/>
                </a:solidFill>
              </a:rPr>
              <a:t>CITY</a:t>
            </a:r>
          </a:p>
        </c:rich>
      </c:tx>
      <c:overlay val="0"/>
      <c:spPr>
        <a:noFill/>
        <a:ln>
          <a:noFill/>
          <a:prstDash val="solid"/>
        </a:ln>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pivot!$E$2</c:f>
              <c:strCache>
                <c:ptCount val="1"/>
                <c:pt idx="0">
                  <c:v>Total</c:v>
                </c:pt>
              </c:strCache>
            </c:strRef>
          </c:tx>
          <c:spPr>
            <a:solidFill>
              <a:schemeClr val="accent1">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pivot!$D$3:$D$13</c:f>
              <c:strCache>
                <c:ptCount val="10"/>
                <c:pt idx="0">
                  <c:v>Ahmedabad</c:v>
                </c:pt>
                <c:pt idx="1">
                  <c:v>Bangalore</c:v>
                </c:pt>
                <c:pt idx="2">
                  <c:v>Chennai</c:v>
                </c:pt>
                <c:pt idx="3">
                  <c:v>Delhi</c:v>
                </c:pt>
                <c:pt idx="4">
                  <c:v>Hyderabad</c:v>
                </c:pt>
                <c:pt idx="5">
                  <c:v>Jaipur</c:v>
                </c:pt>
                <c:pt idx="6">
                  <c:v>Kolkata</c:v>
                </c:pt>
                <c:pt idx="7">
                  <c:v>Mumbai</c:v>
                </c:pt>
                <c:pt idx="8">
                  <c:v>Pune</c:v>
                </c:pt>
                <c:pt idx="9">
                  <c:v>Surat</c:v>
                </c:pt>
              </c:strCache>
            </c:strRef>
          </c:cat>
          <c:val>
            <c:numRef>
              <c:f>pivot!$E$3:$E$13</c:f>
              <c:numCache>
                <c:formatCode>General</c:formatCode>
                <c:ptCount val="10"/>
                <c:pt idx="0">
                  <c:v>3766.3500000000004</c:v>
                </c:pt>
                <c:pt idx="1">
                  <c:v>11690.55</c:v>
                </c:pt>
                <c:pt idx="2">
                  <c:v>4243.3999999999996</c:v>
                </c:pt>
                <c:pt idx="3">
                  <c:v>18091.25</c:v>
                </c:pt>
                <c:pt idx="4">
                  <c:v>3631.7000000000003</c:v>
                </c:pt>
                <c:pt idx="5">
                  <c:v>3641.1499999999996</c:v>
                </c:pt>
                <c:pt idx="6">
                  <c:v>3506.3999999999996</c:v>
                </c:pt>
                <c:pt idx="7">
                  <c:v>13850.65</c:v>
                </c:pt>
                <c:pt idx="8">
                  <c:v>14887.35</c:v>
                </c:pt>
                <c:pt idx="9">
                  <c:v>6808.35</c:v>
                </c:pt>
              </c:numCache>
            </c:numRef>
          </c:val>
          <c:extLst>
            <c:ext xmlns:c16="http://schemas.microsoft.com/office/drawing/2014/chart" uri="{C3380CC4-5D6E-409C-BE32-E72D297353CC}">
              <c16:uniqueId val="{00000000-B952-4989-BFBC-BF6D0FE17F3B}"/>
            </c:ext>
          </c:extLst>
        </c:ser>
        <c:dLbls>
          <c:dLblPos val="inEnd"/>
          <c:showLegendKey val="0"/>
          <c:showVal val="1"/>
          <c:showCatName val="0"/>
          <c:showSerName val="0"/>
          <c:showPercent val="0"/>
          <c:showBubbleSize val="0"/>
        </c:dLbls>
        <c:gapWidth val="65"/>
        <c:axId val="1584976688"/>
        <c:axId val="1585001168"/>
      </c:barChart>
      <c:catAx>
        <c:axId val="15849766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en-US"/>
          </a:p>
        </c:txPr>
        <c:crossAx val="1585001168"/>
        <c:crosses val="autoZero"/>
        <c:auto val="1"/>
        <c:lblAlgn val="ctr"/>
        <c:lblOffset val="100"/>
        <c:noMultiLvlLbl val="0"/>
      </c:catAx>
      <c:valAx>
        <c:axId val="1585001168"/>
        <c:scaling>
          <c:orientation val="minMax"/>
        </c:scaling>
        <c:delete val="0"/>
        <c:axPos val="b"/>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crossAx val="1584976688"/>
        <c:crosses val="autoZero"/>
        <c:crossBetween val="between"/>
      </c:valAx>
      <c:spPr>
        <a:solidFill>
          <a:schemeClr val="bg1">
            <a:lumMod val="95000"/>
          </a:schemeClr>
        </a:solidFill>
      </c:spPr>
    </c:plotArea>
    <c:legend>
      <c:legendPos val="r"/>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1"/>
  </c:chart>
  <c:spPr>
    <a:solidFill>
      <a:schemeClr val="bg1">
        <a:lumMod val="95000"/>
      </a:schemeClr>
    </a:solidFill>
    <a:ln w="9525" cap="flat" cmpd="sng" algn="ctr">
      <a:gradFill>
        <a:gsLst>
          <a:gs pos="0">
            <a:schemeClr val="accent1">
              <a:lumMod val="6000"/>
              <a:lumOff val="94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361951</xdr:colOff>
      <xdr:row>20</xdr:row>
      <xdr:rowOff>57150</xdr:rowOff>
    </xdr:from>
    <xdr:to>
      <xdr:col>20</xdr:col>
      <xdr:colOff>142875</xdr:colOff>
      <xdr:row>36</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361951</xdr:colOff>
      <xdr:row>3</xdr:row>
      <xdr:rowOff>133350</xdr:rowOff>
    </xdr:from>
    <xdr:to>
      <xdr:col>19</xdr:col>
      <xdr:colOff>285750</xdr:colOff>
      <xdr:row>19</xdr:row>
      <xdr:rowOff>123825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6</xdr:row>
      <xdr:rowOff>142875</xdr:rowOff>
    </xdr:from>
    <xdr:to>
      <xdr:col>10</xdr:col>
      <xdr:colOff>257175</xdr:colOff>
      <xdr:row>36</xdr:row>
      <xdr:rowOff>28575</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381000</xdr:colOff>
      <xdr:row>3</xdr:row>
      <xdr:rowOff>123825</xdr:rowOff>
    </xdr:from>
    <xdr:to>
      <xdr:col>21</xdr:col>
      <xdr:colOff>533400</xdr:colOff>
      <xdr:row>17</xdr:row>
      <xdr:rowOff>123825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6D4E76BC-7EE3-BBE3-0FBF-7960D643C03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963400" y="695325"/>
              <a:ext cx="13716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257176</xdr:colOff>
      <xdr:row>18</xdr:row>
      <xdr:rowOff>57150</xdr:rowOff>
    </xdr:from>
    <xdr:to>
      <xdr:col>24</xdr:col>
      <xdr:colOff>161926</xdr:colOff>
      <xdr:row>35</xdr:row>
      <xdr:rowOff>133350</xdr:rowOff>
    </xdr:to>
    <mc:AlternateContent xmlns:mc="http://schemas.openxmlformats.org/markup-compatibility/2006">
      <mc:Choice xmlns:a14="http://schemas.microsoft.com/office/drawing/2010/main" Requires="a14">
        <xdr:graphicFrame macro="">
          <xdr:nvGraphicFramePr>
            <xdr:cNvPr id="6" name="city">
              <a:extLst>
                <a:ext uri="{FF2B5EF4-FFF2-40B4-BE49-F238E27FC236}">
                  <a16:creationId xmlns:a16="http://schemas.microsoft.com/office/drawing/2014/main" id="{1A97D929-6BFB-CE45-F259-70DDB4EECD8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449176" y="3486150"/>
              <a:ext cx="2343150" cy="3314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9525</xdr:colOff>
      <xdr:row>3</xdr:row>
      <xdr:rowOff>123825</xdr:rowOff>
    </xdr:from>
    <xdr:to>
      <xdr:col>24</xdr:col>
      <xdr:colOff>161925</xdr:colOff>
      <xdr:row>17</xdr:row>
      <xdr:rowOff>123825</xdr:rowOff>
    </xdr:to>
    <mc:AlternateContent xmlns:mc="http://schemas.openxmlformats.org/markup-compatibility/2006">
      <mc:Choice xmlns:a14="http://schemas.microsoft.com/office/drawing/2010/main" Requires="a14">
        <xdr:graphicFrame macro="">
          <xdr:nvGraphicFramePr>
            <xdr:cNvPr id="7" name="Month">
              <a:extLst>
                <a:ext uri="{FF2B5EF4-FFF2-40B4-BE49-F238E27FC236}">
                  <a16:creationId xmlns:a16="http://schemas.microsoft.com/office/drawing/2014/main" id="{3CA52715-D42B-E727-4F35-059F9840ECC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420725" y="695325"/>
              <a:ext cx="13716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66674</xdr:colOff>
      <xdr:row>0</xdr:row>
      <xdr:rowOff>57150</xdr:rowOff>
    </xdr:from>
    <xdr:to>
      <xdr:col>24</xdr:col>
      <xdr:colOff>152399</xdr:colOff>
      <xdr:row>3</xdr:row>
      <xdr:rowOff>85725</xdr:rowOff>
    </xdr:to>
    <xdr:sp macro="" textlink="">
      <xdr:nvSpPr>
        <xdr:cNvPr id="8" name="Rectangle: Rounded Corners 7">
          <a:extLst>
            <a:ext uri="{FF2B5EF4-FFF2-40B4-BE49-F238E27FC236}">
              <a16:creationId xmlns:a16="http://schemas.microsoft.com/office/drawing/2014/main" id="{C48417D2-B5BD-06F0-BA56-57D244EEA289}"/>
            </a:ext>
          </a:extLst>
        </xdr:cNvPr>
        <xdr:cNvSpPr/>
      </xdr:nvSpPr>
      <xdr:spPr>
        <a:xfrm>
          <a:off x="66674" y="57150"/>
          <a:ext cx="14716125" cy="6000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latin typeface="Bookman Old Style" panose="02050604050505020204" pitchFamily="18" charset="0"/>
            </a:rPr>
            <a:t>SALES DASHBOARD</a:t>
          </a:r>
        </a:p>
      </xdr:txBody>
    </xdr:sp>
    <xdr:clientData/>
  </xdr:twoCellAnchor>
  <xdr:twoCellAnchor>
    <xdr:from>
      <xdr:col>3</xdr:col>
      <xdr:colOff>581025</xdr:colOff>
      <xdr:row>3</xdr:row>
      <xdr:rowOff>152401</xdr:rowOff>
    </xdr:from>
    <xdr:to>
      <xdr:col>6</xdr:col>
      <xdr:colOff>0</xdr:colOff>
      <xdr:row>6</xdr:row>
      <xdr:rowOff>76201</xdr:rowOff>
    </xdr:to>
    <xdr:sp macro="" textlink="">
      <xdr:nvSpPr>
        <xdr:cNvPr id="9" name="Rectangle: Rounded Corners 8">
          <a:extLst>
            <a:ext uri="{FF2B5EF4-FFF2-40B4-BE49-F238E27FC236}">
              <a16:creationId xmlns:a16="http://schemas.microsoft.com/office/drawing/2014/main" id="{642D5A50-9BD9-0D54-4068-2A717C8D545D}"/>
            </a:ext>
          </a:extLst>
        </xdr:cNvPr>
        <xdr:cNvSpPr/>
      </xdr:nvSpPr>
      <xdr:spPr>
        <a:xfrm>
          <a:off x="2409825" y="723901"/>
          <a:ext cx="1247775"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QUANTITY</a:t>
          </a:r>
        </a:p>
        <a:p>
          <a:pPr algn="ctr"/>
          <a:r>
            <a:rPr lang="en-IN" sz="1100" b="1" i="0" u="none" strike="noStrike">
              <a:solidFill>
                <a:schemeClr val="lt1"/>
              </a:solidFill>
              <a:effectLst/>
              <a:latin typeface="+mn-lt"/>
              <a:ea typeface="+mn-ea"/>
              <a:cs typeface="+mn-cs"/>
            </a:rPr>
            <a:t>129</a:t>
          </a:r>
          <a:r>
            <a:rPr lang="en-IN">
              <a:effectLst/>
            </a:rPr>
            <a:t> </a:t>
          </a:r>
          <a:endParaRPr lang="en-IN" sz="1100" b="1"/>
        </a:p>
      </xdr:txBody>
    </xdr:sp>
    <xdr:clientData/>
  </xdr:twoCellAnchor>
  <xdr:twoCellAnchor>
    <xdr:from>
      <xdr:col>1</xdr:col>
      <xdr:colOff>0</xdr:colOff>
      <xdr:row>3</xdr:row>
      <xdr:rowOff>152400</xdr:rowOff>
    </xdr:from>
    <xdr:to>
      <xdr:col>3</xdr:col>
      <xdr:colOff>28575</xdr:colOff>
      <xdr:row>6</xdr:row>
      <xdr:rowOff>76200</xdr:rowOff>
    </xdr:to>
    <xdr:sp macro="" textlink="">
      <xdr:nvSpPr>
        <xdr:cNvPr id="10" name="Rectangle: Rounded Corners 9">
          <a:extLst>
            <a:ext uri="{FF2B5EF4-FFF2-40B4-BE49-F238E27FC236}">
              <a16:creationId xmlns:a16="http://schemas.microsoft.com/office/drawing/2014/main" id="{988B38EA-AF1A-4F82-988C-1028FDD0D4D8}"/>
            </a:ext>
          </a:extLst>
        </xdr:cNvPr>
        <xdr:cNvSpPr/>
      </xdr:nvSpPr>
      <xdr:spPr>
        <a:xfrm>
          <a:off x="609600" y="723900"/>
          <a:ext cx="1247775"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 SALES</a:t>
          </a:r>
        </a:p>
        <a:p>
          <a:pPr algn="ctr"/>
          <a:r>
            <a:rPr lang="en-IN" sz="1100" b="1" i="0" u="none" strike="noStrike">
              <a:solidFill>
                <a:schemeClr val="lt1"/>
              </a:solidFill>
              <a:effectLst/>
              <a:latin typeface="+mn-lt"/>
              <a:ea typeface="+mn-ea"/>
              <a:cs typeface="+mn-cs"/>
            </a:rPr>
            <a:t>84117.15</a:t>
          </a:r>
          <a:r>
            <a:rPr lang="en-IN" b="1">
              <a:effectLst/>
            </a:rPr>
            <a:t> </a:t>
          </a:r>
          <a:endParaRPr lang="en-IN" sz="1100" b="1"/>
        </a:p>
      </xdr:txBody>
    </xdr:sp>
    <xdr:clientData/>
  </xdr:twoCellAnchor>
  <xdr:twoCellAnchor>
    <xdr:from>
      <xdr:col>7</xdr:col>
      <xdr:colOff>0</xdr:colOff>
      <xdr:row>3</xdr:row>
      <xdr:rowOff>142875</xdr:rowOff>
    </xdr:from>
    <xdr:to>
      <xdr:col>9</xdr:col>
      <xdr:colOff>28575</xdr:colOff>
      <xdr:row>6</xdr:row>
      <xdr:rowOff>66675</xdr:rowOff>
    </xdr:to>
    <xdr:sp macro="" textlink="">
      <xdr:nvSpPr>
        <xdr:cNvPr id="11" name="Rectangle: Rounded Corners 10">
          <a:extLst>
            <a:ext uri="{FF2B5EF4-FFF2-40B4-BE49-F238E27FC236}">
              <a16:creationId xmlns:a16="http://schemas.microsoft.com/office/drawing/2014/main" id="{06A744F2-6971-4975-A064-A948ACDE4B21}"/>
            </a:ext>
          </a:extLst>
        </xdr:cNvPr>
        <xdr:cNvSpPr/>
      </xdr:nvSpPr>
      <xdr:spPr>
        <a:xfrm>
          <a:off x="4267200" y="714375"/>
          <a:ext cx="1247775"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ANERAGE SALES</a:t>
          </a:r>
        </a:p>
        <a:p>
          <a:pPr algn="ctr"/>
          <a:r>
            <a:rPr lang="en-IN" sz="1100" b="1" i="0" u="none" strike="noStrike">
              <a:solidFill>
                <a:schemeClr val="lt1"/>
              </a:solidFill>
              <a:effectLst/>
              <a:latin typeface="+mn-lt"/>
              <a:ea typeface="+mn-ea"/>
              <a:cs typeface="+mn-cs"/>
            </a:rPr>
            <a:t>1201.67</a:t>
          </a:r>
          <a:endParaRPr lang="en-IN"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4.979053240742" createdVersion="8" refreshedVersion="8" minRefreshableVersion="3" recordCount="70" xr:uid="{00000000-000A-0000-FFFF-FFFF07000000}">
  <cacheSource type="worksheet">
    <worksheetSource name="Table1"/>
  </cacheSource>
  <cacheFields count="13">
    <cacheField name="order_id" numFmtId="0">
      <sharedItems containsSemiMixedTypes="0" containsString="0" containsNumber="1" containsInteger="1" minValue="1001" maxValue="1070"/>
    </cacheField>
    <cacheField name="order_date" numFmtId="14">
      <sharedItems containsSemiMixedTypes="0" containsNonDate="0" containsDate="1" containsString="0" minDate="2024-01-03T00:00:00" maxDate="2024-07-01T00:00:00"/>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7">
        <s v="Clothing"/>
        <s v="Electronics"/>
        <s v="Home &amp; Kitchen"/>
        <s v="Footwear"/>
        <s v="Beauty"/>
        <s v="Sports"/>
        <s v="Stationery"/>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99" maxValue="1899"/>
    </cacheField>
    <cacheField name="discount_pct" numFmtId="0">
      <sharedItems containsSemiMixedTypes="0" containsString="0" containsNumber="1" containsInteger="1" minValue="0" maxValue="20"/>
    </cacheField>
    <cacheField name="city" numFmtId="0">
      <sharedItems count="10">
        <s v="Mumbai"/>
        <s v="Pune"/>
        <s v="Delhi"/>
        <s v="Bangalore"/>
        <s v="Chennai"/>
        <s v="Hyderabad"/>
        <s v="Ahmedabad"/>
        <s v="Jaipur"/>
        <s v="Surat"/>
        <s v="Kolkata"/>
      </sharedItems>
    </cacheField>
    <cacheField name="Total_Sales" numFmtId="0">
      <sharedItems containsSemiMixedTypes="0" containsString="0" containsNumber="1" minValue="349" maxValue="3798"/>
    </cacheField>
    <cacheField name="Month" numFmtId="0">
      <sharedItems count="6">
        <s v="Jan"/>
        <s v="Feb"/>
        <s v="Mar"/>
        <s v="Apr"/>
        <s v="May"/>
        <s v="Jun"/>
      </sharedItems>
    </cacheField>
  </cacheFields>
  <extLst>
    <ext xmlns:x14="http://schemas.microsoft.com/office/spreadsheetml/2009/9/main" uri="{725AE2AE-9491-48be-B2B4-4EB974FC3084}">
      <x14:pivotCacheDefinition pivotCacheId="220801111"/>
    </ext>
  </extLst>
</pivotCacheDefinition>
</file>

<file path=xl/pivotCache/pivotCacheRecords1.xml><?xml version="1.0" encoding="utf-8"?>
<pivotCacheRecords xmlns="http://schemas.openxmlformats.org/spreadsheetml/2006/main" count="70">
  <r>
    <n v="1001"/>
    <d v="2024-01-03T00:00:00"/>
    <s v="C101"/>
    <s v="Rahul Sharma"/>
    <s v="P201"/>
    <s v="Cotton Kurta"/>
    <x v="0"/>
    <n v="2"/>
    <n v="499"/>
    <n v="10"/>
    <x v="0"/>
    <n v="898.2"/>
    <x v="0"/>
  </r>
  <r>
    <n v="1002"/>
    <d v="2024-01-05T00:00:00"/>
    <s v="C102"/>
    <s v="Priya Mehta"/>
    <s v="P305"/>
    <s v="Bluetooth Earphones"/>
    <x v="1"/>
    <n v="1"/>
    <n v="1299"/>
    <n v="5"/>
    <x v="1"/>
    <n v="1234.05"/>
    <x v="0"/>
  </r>
  <r>
    <n v="1003"/>
    <d v="2024-01-07T00:00:00"/>
    <s v="C103"/>
    <s v="Ankit Verma"/>
    <s v="P110"/>
    <s v="Steel Water Bottle"/>
    <x v="2"/>
    <n v="3"/>
    <n v="349"/>
    <n v="0"/>
    <x v="2"/>
    <n v="1047"/>
    <x v="0"/>
  </r>
  <r>
    <n v="1004"/>
    <d v="2024-01-10T00:00:00"/>
    <s v="C101"/>
    <s v="Rahul Sharma"/>
    <s v="P402"/>
    <s v="Running Shoes"/>
    <x v="3"/>
    <n v="1"/>
    <n v="1899"/>
    <n v="15"/>
    <x v="0"/>
    <n v="1614.15"/>
    <x v="0"/>
  </r>
  <r>
    <n v="1005"/>
    <d v="2024-01-12T00:00:00"/>
    <s v="C104"/>
    <s v="Sneha Patil"/>
    <s v="P201"/>
    <s v="Cotton Kurta"/>
    <x v="0"/>
    <n v="1"/>
    <n v="499"/>
    <n v="0"/>
    <x v="1"/>
    <n v="499"/>
    <x v="0"/>
  </r>
  <r>
    <n v="1006"/>
    <d v="2024-01-15T00:00:00"/>
    <s v="C105"/>
    <s v="Rohan Das"/>
    <s v="P305"/>
    <s v="Bluetooth Earphones"/>
    <x v="1"/>
    <n v="2"/>
    <n v="1299"/>
    <n v="10"/>
    <x v="3"/>
    <n v="2338.2"/>
    <x v="0"/>
  </r>
  <r>
    <n v="1007"/>
    <d v="2024-01-18T00:00:00"/>
    <s v="C106"/>
    <s v="Kavya Nair"/>
    <s v="P510"/>
    <s v="Face Moisturizer"/>
    <x v="4"/>
    <n v="2"/>
    <n v="599"/>
    <n v="5"/>
    <x v="4"/>
    <n v="1138.1"/>
    <x v="0"/>
  </r>
  <r>
    <n v="1008"/>
    <d v="2024-01-20T00:00:00"/>
    <s v="C102"/>
    <s v="Priya Mehta"/>
    <s v="P110"/>
    <s v="Steel Water Bottle"/>
    <x v="2"/>
    <n v="1"/>
    <n v="349"/>
    <n v="0"/>
    <x v="1"/>
    <n v="349"/>
    <x v="0"/>
  </r>
  <r>
    <n v="1009"/>
    <d v="2024-01-22T00:00:00"/>
    <s v="C107"/>
    <s v="Amit Singh"/>
    <s v="P601"/>
    <s v="Yoga Mat"/>
    <x v="5"/>
    <n v="1"/>
    <n v="799"/>
    <n v="0"/>
    <x v="2"/>
    <n v="799"/>
    <x v="0"/>
  </r>
  <r>
    <n v="1010"/>
    <d v="2024-01-25T00:00:00"/>
    <s v="C108"/>
    <s v="Divya Joshi"/>
    <s v="P201"/>
    <s v="Cotton Kurta"/>
    <x v="0"/>
    <n v="3"/>
    <n v="499"/>
    <n v="10"/>
    <x v="5"/>
    <n v="1347.3"/>
    <x v="0"/>
  </r>
  <r>
    <n v="1011"/>
    <d v="2024-01-28T00:00:00"/>
    <s v="C103"/>
    <s v="Ankit Verma"/>
    <s v="P402"/>
    <s v="Running Shoes"/>
    <x v="3"/>
    <n v="1"/>
    <n v="1899"/>
    <n v="0"/>
    <x v="2"/>
    <n v="1899"/>
    <x v="0"/>
  </r>
  <r>
    <n v="1012"/>
    <d v="2024-02-02T00:00:00"/>
    <s v="C109"/>
    <s v="Neha Gupta"/>
    <s v="P305"/>
    <s v="Bluetooth Earphones"/>
    <x v="1"/>
    <n v="1"/>
    <n v="1299"/>
    <n v="0"/>
    <x v="0"/>
    <n v="1299"/>
    <x v="1"/>
  </r>
  <r>
    <n v="1013"/>
    <d v="2024-02-04T00:00:00"/>
    <s v="C110"/>
    <s v="Vikram Rao"/>
    <s v="P701"/>
    <s v="Notebook Set"/>
    <x v="6"/>
    <n v="4"/>
    <n v="199"/>
    <n v="0"/>
    <x v="1"/>
    <n v="796"/>
    <x v="1"/>
  </r>
  <r>
    <n v="1014"/>
    <d v="2024-02-06T00:00:00"/>
    <s v="C101"/>
    <s v="Rahul Sharma"/>
    <s v="P510"/>
    <s v="Face Moisturizer"/>
    <x v="4"/>
    <n v="1"/>
    <n v="599"/>
    <n v="5"/>
    <x v="0"/>
    <n v="569.05"/>
    <x v="1"/>
  </r>
  <r>
    <n v="1015"/>
    <d v="2024-02-09T00:00:00"/>
    <s v="C111"/>
    <s v="Pooja Kulkarni"/>
    <s v="P601"/>
    <s v="Yoga Mat"/>
    <x v="5"/>
    <n v="2"/>
    <n v="799"/>
    <n v="10"/>
    <x v="1"/>
    <n v="1438.2"/>
    <x v="1"/>
  </r>
  <r>
    <n v="1016"/>
    <d v="2024-02-11T00:00:00"/>
    <s v="C104"/>
    <s v="Sneha Patil"/>
    <s v="P110"/>
    <s v="Steel Water Bottle"/>
    <x v="2"/>
    <n v="2"/>
    <n v="349"/>
    <n v="0"/>
    <x v="1"/>
    <n v="698"/>
    <x v="1"/>
  </r>
  <r>
    <n v="1017"/>
    <d v="2024-02-14T00:00:00"/>
    <s v="C112"/>
    <s v="Arjun Tiwari"/>
    <s v="P201"/>
    <s v="Cotton Kurta"/>
    <x v="0"/>
    <n v="2"/>
    <n v="499"/>
    <n v="20"/>
    <x v="2"/>
    <n v="798.4000000000001"/>
    <x v="1"/>
  </r>
  <r>
    <n v="1018"/>
    <d v="2024-02-16T00:00:00"/>
    <s v="C105"/>
    <s v="Rohan Das"/>
    <s v="P402"/>
    <s v="Running Shoes"/>
    <x v="3"/>
    <n v="1"/>
    <n v="1899"/>
    <n v="5"/>
    <x v="3"/>
    <n v="1804.05"/>
    <x v="1"/>
  </r>
  <r>
    <n v="1019"/>
    <d v="2024-02-19T00:00:00"/>
    <s v="C113"/>
    <s v="Meera Iyer"/>
    <s v="P701"/>
    <s v="Notebook Set"/>
    <x v="6"/>
    <n v="2"/>
    <n v="199"/>
    <n v="0"/>
    <x v="4"/>
    <n v="398"/>
    <x v="1"/>
  </r>
  <r>
    <n v="1020"/>
    <d v="2024-02-22T00:00:00"/>
    <s v="C106"/>
    <s v="Kavya Nair"/>
    <s v="P305"/>
    <s v="Bluetooth Earphones"/>
    <x v="1"/>
    <n v="1"/>
    <n v="1299"/>
    <n v="0"/>
    <x v="3"/>
    <n v="1299"/>
    <x v="1"/>
  </r>
  <r>
    <n v="1021"/>
    <d v="2024-02-25T00:00:00"/>
    <s v="C114"/>
    <s v="Suresh Kumar"/>
    <s v="P510"/>
    <s v="Face Moisturizer"/>
    <x v="4"/>
    <n v="3"/>
    <n v="599"/>
    <n v="10"/>
    <x v="0"/>
    <n v="1617.3"/>
    <x v="1"/>
  </r>
  <r>
    <n v="1022"/>
    <d v="2024-02-27T00:00:00"/>
    <s v="C107"/>
    <s v="Amit Singh"/>
    <s v="P201"/>
    <s v="Cotton Kurta"/>
    <x v="0"/>
    <n v="1"/>
    <n v="499"/>
    <n v="0"/>
    <x v="2"/>
    <n v="499"/>
    <x v="1"/>
  </r>
  <r>
    <n v="1023"/>
    <d v="2024-03-01T00:00:00"/>
    <s v="C108"/>
    <s v="Divya Joshi"/>
    <s v="P601"/>
    <s v="Yoga Mat"/>
    <x v="5"/>
    <n v="1"/>
    <n v="799"/>
    <n v="0"/>
    <x v="5"/>
    <n v="799"/>
    <x v="2"/>
  </r>
  <r>
    <n v="1024"/>
    <d v="2024-03-04T00:00:00"/>
    <s v="C115"/>
    <s v="Anjali Shah"/>
    <s v="P305"/>
    <s v="Bluetooth Earphones"/>
    <x v="1"/>
    <n v="2"/>
    <n v="1299"/>
    <n v="15"/>
    <x v="6"/>
    <n v="2208.3"/>
    <x v="2"/>
  </r>
  <r>
    <n v="1025"/>
    <d v="2024-03-07T00:00:00"/>
    <s v="C102"/>
    <s v="Priya Mehta"/>
    <s v="P402"/>
    <s v="Running Shoes"/>
    <x v="3"/>
    <n v="1"/>
    <n v="1899"/>
    <n v="0"/>
    <x v="1"/>
    <n v="1899"/>
    <x v="2"/>
  </r>
  <r>
    <n v="1026"/>
    <d v="2024-03-10T00:00:00"/>
    <s v="C109"/>
    <s v="Neha Gupta"/>
    <s v="P110"/>
    <s v="Steel Water Bottle"/>
    <x v="2"/>
    <n v="4"/>
    <n v="349"/>
    <n v="5"/>
    <x v="0"/>
    <n v="1326.2"/>
    <x v="2"/>
  </r>
  <r>
    <n v="1027"/>
    <d v="2024-03-12T00:00:00"/>
    <s v="C116"/>
    <s v="Karan Malhotra"/>
    <s v="P201"/>
    <s v="Cotton Kurta"/>
    <x v="0"/>
    <n v="2"/>
    <n v="499"/>
    <n v="10"/>
    <x v="2"/>
    <n v="898.2"/>
    <x v="2"/>
  </r>
  <r>
    <n v="1028"/>
    <d v="2024-03-15T00:00:00"/>
    <s v="C110"/>
    <s v="Vikram Rao"/>
    <s v="P510"/>
    <s v="Face Moisturizer"/>
    <x v="4"/>
    <n v="1"/>
    <n v="599"/>
    <n v="0"/>
    <x v="1"/>
    <n v="599"/>
    <x v="2"/>
  </r>
  <r>
    <n v="1029"/>
    <d v="2024-03-18T00:00:00"/>
    <s v="C111"/>
    <s v="Pooja Kulkarni"/>
    <s v="P701"/>
    <s v="Notebook Set"/>
    <x v="6"/>
    <n v="3"/>
    <n v="199"/>
    <n v="0"/>
    <x v="1"/>
    <n v="597"/>
    <x v="2"/>
  </r>
  <r>
    <n v="1030"/>
    <d v="2024-03-20T00:00:00"/>
    <s v="C117"/>
    <s v="Ritu Sharma"/>
    <s v="P305"/>
    <s v="Bluetooth Earphones"/>
    <x v="1"/>
    <n v="1"/>
    <n v="1299"/>
    <n v="5"/>
    <x v="7"/>
    <n v="1234.05"/>
    <x v="2"/>
  </r>
  <r>
    <n v="1031"/>
    <d v="2024-03-22T00:00:00"/>
    <s v="C101"/>
    <s v="Rahul Sharma"/>
    <s v="P601"/>
    <s v="Yoga Mat"/>
    <x v="5"/>
    <n v="1"/>
    <n v="799"/>
    <n v="10"/>
    <x v="0"/>
    <n v="719.1"/>
    <x v="2"/>
  </r>
  <r>
    <n v="1032"/>
    <d v="2024-03-25T00:00:00"/>
    <s v="C112"/>
    <s v="Arjun Tiwari"/>
    <s v="P402"/>
    <s v="Running Shoes"/>
    <x v="3"/>
    <n v="2"/>
    <n v="1899"/>
    <n v="0"/>
    <x v="2"/>
    <n v="3798"/>
    <x v="2"/>
  </r>
  <r>
    <n v="1033"/>
    <d v="2024-03-28T00:00:00"/>
    <s v="C118"/>
    <s v="Deepak Pillai"/>
    <s v="P110"/>
    <s v="Steel Water Bottle"/>
    <x v="2"/>
    <n v="2"/>
    <n v="349"/>
    <n v="0"/>
    <x v="3"/>
    <n v="698"/>
    <x v="2"/>
  </r>
  <r>
    <n v="1034"/>
    <d v="2024-04-01T00:00:00"/>
    <s v="C113"/>
    <s v="Meera Iyer"/>
    <s v="P201"/>
    <s v="Cotton Kurta"/>
    <x v="0"/>
    <n v="1"/>
    <n v="499"/>
    <n v="0"/>
    <x v="4"/>
    <n v="499"/>
    <x v="3"/>
  </r>
  <r>
    <n v="1035"/>
    <d v="2024-04-03T00:00:00"/>
    <s v="C119"/>
    <s v="Sonal Desai"/>
    <s v="P305"/>
    <s v="Bluetooth Earphones"/>
    <x v="1"/>
    <n v="3"/>
    <n v="1299"/>
    <n v="10"/>
    <x v="8"/>
    <n v="3507.3"/>
    <x v="3"/>
  </r>
  <r>
    <n v="1036"/>
    <d v="2024-04-06T00:00:00"/>
    <s v="C114"/>
    <s v="Suresh Kumar"/>
    <s v="P701"/>
    <s v="Notebook Set"/>
    <x v="6"/>
    <n v="5"/>
    <n v="199"/>
    <n v="5"/>
    <x v="0"/>
    <n v="945.25"/>
    <x v="3"/>
  </r>
  <r>
    <n v="1037"/>
    <d v="2024-04-09T00:00:00"/>
    <s v="C103"/>
    <s v="Ankit Verma"/>
    <s v="P510"/>
    <s v="Face Moisturizer"/>
    <x v="4"/>
    <n v="2"/>
    <n v="599"/>
    <n v="0"/>
    <x v="2"/>
    <n v="1198"/>
    <x v="3"/>
  </r>
  <r>
    <n v="1038"/>
    <d v="2024-04-11T00:00:00"/>
    <s v="C120"/>
    <s v="Ishaan Bose"/>
    <s v="P402"/>
    <s v="Running Shoes"/>
    <x v="3"/>
    <n v="1"/>
    <n v="1899"/>
    <n v="10"/>
    <x v="9"/>
    <n v="1709.1"/>
    <x v="3"/>
  </r>
  <r>
    <n v="1039"/>
    <d v="2024-04-14T00:00:00"/>
    <s v="C115"/>
    <s v="Anjali Shah"/>
    <s v="P601"/>
    <s v="Yoga Mat"/>
    <x v="5"/>
    <n v="1"/>
    <n v="799"/>
    <n v="0"/>
    <x v="6"/>
    <n v="799"/>
    <x v="3"/>
  </r>
  <r>
    <n v="1040"/>
    <d v="2024-04-16T00:00:00"/>
    <s v="C116"/>
    <s v="Karan Malhotra"/>
    <s v="P201"/>
    <s v="Cotton Kurta"/>
    <x v="0"/>
    <n v="3"/>
    <n v="499"/>
    <n v="15"/>
    <x v="2"/>
    <n v="1272.45"/>
    <x v="3"/>
  </r>
  <r>
    <n v="1041"/>
    <d v="2024-04-19T00:00:00"/>
    <s v="C104"/>
    <s v="Sneha Patil"/>
    <s v="P305"/>
    <s v="Bluetooth Earphones"/>
    <x v="1"/>
    <n v="1"/>
    <n v="1299"/>
    <n v="0"/>
    <x v="1"/>
    <n v="1299"/>
    <x v="3"/>
  </r>
  <r>
    <n v="1042"/>
    <d v="2024-04-22T00:00:00"/>
    <s v="C117"/>
    <s v="Ritu Sharma"/>
    <s v="P110"/>
    <s v="Steel Water Bottle"/>
    <x v="2"/>
    <n v="2"/>
    <n v="349"/>
    <n v="0"/>
    <x v="7"/>
    <n v="698"/>
    <x v="3"/>
  </r>
  <r>
    <n v="1043"/>
    <d v="2024-04-24T00:00:00"/>
    <s v="C106"/>
    <s v="Kavya Nair"/>
    <s v="P510"/>
    <s v="Face Moisturizer"/>
    <x v="4"/>
    <n v="1"/>
    <n v="599"/>
    <n v="5"/>
    <x v="3"/>
    <n v="569.05"/>
    <x v="3"/>
  </r>
  <r>
    <n v="1044"/>
    <d v="2024-04-27T00:00:00"/>
    <s v="C118"/>
    <s v="Deepak Pillai"/>
    <s v="P201"/>
    <s v="Cotton Kurta"/>
    <x v="0"/>
    <n v="2"/>
    <n v="499"/>
    <n v="0"/>
    <x v="3"/>
    <n v="998"/>
    <x v="3"/>
  </r>
  <r>
    <n v="1045"/>
    <d v="2024-04-29T00:00:00"/>
    <s v="C108"/>
    <s v="Divya Joshi"/>
    <s v="P701"/>
    <s v="Notebook Set"/>
    <x v="6"/>
    <n v="3"/>
    <n v="199"/>
    <n v="10"/>
    <x v="5"/>
    <n v="537.3000000000001"/>
    <x v="3"/>
  </r>
  <r>
    <n v="1046"/>
    <d v="2024-05-02T00:00:00"/>
    <s v="C119"/>
    <s v="Sonal Desai"/>
    <s v="P402"/>
    <s v="Running Shoes"/>
    <x v="3"/>
    <n v="1"/>
    <n v="1899"/>
    <n v="5"/>
    <x v="8"/>
    <n v="1804.05"/>
    <x v="4"/>
  </r>
  <r>
    <n v="1047"/>
    <d v="2024-05-05T00:00:00"/>
    <s v="C109"/>
    <s v="Neha Gupta"/>
    <s v="P601"/>
    <s v="Yoga Mat"/>
    <x v="5"/>
    <n v="2"/>
    <n v="799"/>
    <n v="0"/>
    <x v="0"/>
    <n v="1598"/>
    <x v="4"/>
  </r>
  <r>
    <n v="1048"/>
    <d v="2024-05-07T00:00:00"/>
    <s v="C120"/>
    <s v="Ishaan Bose"/>
    <s v="P305"/>
    <s v="Bluetooth Earphones"/>
    <x v="1"/>
    <n v="1"/>
    <n v="1299"/>
    <n v="10"/>
    <x v="9"/>
    <n v="1169.1"/>
    <x v="4"/>
  </r>
  <r>
    <n v="1049"/>
    <d v="2024-05-10T00:00:00"/>
    <s v="C101"/>
    <s v="Rahul Sharma"/>
    <s v="P201"/>
    <s v="Cotton Kurta"/>
    <x v="0"/>
    <n v="2"/>
    <n v="499"/>
    <n v="0"/>
    <x v="0"/>
    <n v="998"/>
    <x v="4"/>
  </r>
  <r>
    <n v="1050"/>
    <d v="2024-05-12T00:00:00"/>
    <s v="C110"/>
    <s v="Vikram Rao"/>
    <s v="P510"/>
    <s v="Face Moisturizer"/>
    <x v="4"/>
    <n v="2"/>
    <n v="599"/>
    <n v="5"/>
    <x v="1"/>
    <n v="1138.1"/>
    <x v="4"/>
  </r>
  <r>
    <n v="1051"/>
    <d v="2024-05-15T00:00:00"/>
    <s v="C111"/>
    <s v="Pooja Kulkarni"/>
    <s v="P402"/>
    <s v="Running Shoes"/>
    <x v="3"/>
    <n v="1"/>
    <n v="1899"/>
    <n v="0"/>
    <x v="1"/>
    <n v="1899"/>
    <x v="4"/>
  </r>
  <r>
    <n v="1052"/>
    <d v="2024-05-17T00:00:00"/>
    <s v="C112"/>
    <s v="Arjun Tiwari"/>
    <s v="P110"/>
    <s v="Steel Water Bottle"/>
    <x v="2"/>
    <n v="3"/>
    <n v="349"/>
    <n v="0"/>
    <x v="2"/>
    <n v="1047"/>
    <x v="4"/>
  </r>
  <r>
    <n v="1053"/>
    <d v="2024-05-20T00:00:00"/>
    <s v="C113"/>
    <s v="Meera Iyer"/>
    <s v="P305"/>
    <s v="Bluetooth Earphones"/>
    <x v="1"/>
    <n v="2"/>
    <n v="1299"/>
    <n v="15"/>
    <x v="4"/>
    <n v="2208.3"/>
    <x v="4"/>
  </r>
  <r>
    <n v="1054"/>
    <d v="2024-05-22T00:00:00"/>
    <s v="C102"/>
    <s v="Priya Mehta"/>
    <s v="P701"/>
    <s v="Notebook Set"/>
    <x v="6"/>
    <n v="4"/>
    <n v="199"/>
    <n v="0"/>
    <x v="1"/>
    <n v="796"/>
    <x v="4"/>
  </r>
  <r>
    <n v="1055"/>
    <d v="2024-05-25T00:00:00"/>
    <s v="C114"/>
    <s v="Suresh Kumar"/>
    <s v="P201"/>
    <s v="Cotton Kurta"/>
    <x v="0"/>
    <n v="1"/>
    <n v="499"/>
    <n v="10"/>
    <x v="0"/>
    <n v="449.1"/>
    <x v="4"/>
  </r>
  <r>
    <n v="1056"/>
    <d v="2024-05-27T00:00:00"/>
    <s v="C115"/>
    <s v="Anjali Shah"/>
    <s v="P601"/>
    <s v="Yoga Mat"/>
    <x v="5"/>
    <n v="1"/>
    <n v="799"/>
    <n v="5"/>
    <x v="6"/>
    <n v="759.05"/>
    <x v="4"/>
  </r>
  <r>
    <n v="1057"/>
    <d v="2024-05-29T00:00:00"/>
    <s v="C116"/>
    <s v="Karan Malhotra"/>
    <s v="P510"/>
    <s v="Face Moisturizer"/>
    <x v="4"/>
    <n v="2"/>
    <n v="599"/>
    <n v="0"/>
    <x v="2"/>
    <n v="1198"/>
    <x v="4"/>
  </r>
  <r>
    <n v="1058"/>
    <d v="2024-06-01T00:00:00"/>
    <s v="C117"/>
    <s v="Ritu Sharma"/>
    <s v="P402"/>
    <s v="Running Shoes"/>
    <x v="3"/>
    <n v="1"/>
    <n v="1899"/>
    <n v="10"/>
    <x v="7"/>
    <n v="1709.1"/>
    <x v="5"/>
  </r>
  <r>
    <n v="1059"/>
    <d v="2024-06-04T00:00:00"/>
    <s v="C103"/>
    <s v="Ankit Verma"/>
    <s v="P305"/>
    <s v="Bluetooth Earphones"/>
    <x v="1"/>
    <n v="1"/>
    <n v="1299"/>
    <n v="0"/>
    <x v="2"/>
    <n v="1299"/>
    <x v="5"/>
  </r>
  <r>
    <n v="1060"/>
    <d v="2024-06-06T00:00:00"/>
    <s v="C118"/>
    <s v="Deepak Pillai"/>
    <s v="P601"/>
    <s v="Yoga Mat"/>
    <x v="5"/>
    <n v="2"/>
    <n v="799"/>
    <n v="5"/>
    <x v="3"/>
    <n v="1518.1"/>
    <x v="5"/>
  </r>
  <r>
    <n v="1061"/>
    <d v="2024-06-09T00:00:00"/>
    <s v="C119"/>
    <s v="Sonal Desai"/>
    <s v="P201"/>
    <s v="Cotton Kurta"/>
    <x v="0"/>
    <n v="3"/>
    <n v="499"/>
    <n v="0"/>
    <x v="8"/>
    <n v="1497"/>
    <x v="5"/>
  </r>
  <r>
    <n v="1062"/>
    <d v="2024-06-11T00:00:00"/>
    <s v="C120"/>
    <s v="Ishaan Bose"/>
    <s v="P110"/>
    <s v="Steel Water Bottle"/>
    <x v="2"/>
    <n v="2"/>
    <n v="349"/>
    <n v="10"/>
    <x v="9"/>
    <n v="628.2"/>
    <x v="5"/>
  </r>
  <r>
    <n v="1063"/>
    <d v="2024-06-14T00:00:00"/>
    <s v="C104"/>
    <s v="Sneha Patil"/>
    <s v="P510"/>
    <s v="Face Moisturizer"/>
    <x v="4"/>
    <n v="1"/>
    <n v="599"/>
    <n v="0"/>
    <x v="1"/>
    <n v="599"/>
    <x v="5"/>
  </r>
  <r>
    <n v="1064"/>
    <d v="2024-06-16T00:00:00"/>
    <s v="C105"/>
    <s v="Rohan Das"/>
    <s v="P701"/>
    <s v="Notebook Set"/>
    <x v="6"/>
    <n v="3"/>
    <n v="199"/>
    <n v="5"/>
    <x v="3"/>
    <n v="567.15"/>
    <x v="5"/>
  </r>
  <r>
    <n v="1065"/>
    <d v="2024-06-19T00:00:00"/>
    <s v="C106"/>
    <s v="Kavya Nair"/>
    <s v="P402"/>
    <s v="Running Shoes"/>
    <x v="3"/>
    <n v="1"/>
    <n v="1899"/>
    <n v="0"/>
    <x v="3"/>
    <n v="1899"/>
    <x v="5"/>
  </r>
  <r>
    <n v="1066"/>
    <d v="2024-06-21T00:00:00"/>
    <s v="C107"/>
    <s v="Amit Singh"/>
    <s v="P305"/>
    <s v="Bluetooth Earphones"/>
    <x v="1"/>
    <n v="2"/>
    <n v="1299"/>
    <n v="10"/>
    <x v="2"/>
    <n v="2338.2"/>
    <x v="5"/>
  </r>
  <r>
    <n v="1067"/>
    <d v="2024-06-24T00:00:00"/>
    <s v="C108"/>
    <s v="Divya Joshi"/>
    <s v="P201"/>
    <s v="Cotton Kurta"/>
    <x v="0"/>
    <n v="2"/>
    <n v="499"/>
    <n v="5"/>
    <x v="5"/>
    <n v="948.0999999999999"/>
    <x v="5"/>
  </r>
  <r>
    <n v="1068"/>
    <d v="2024-06-26T00:00:00"/>
    <s v="C109"/>
    <s v="Neha Gupta"/>
    <s v="P601"/>
    <s v="Yoga Mat"/>
    <x v="5"/>
    <n v="1"/>
    <n v="799"/>
    <n v="0"/>
    <x v="0"/>
    <n v="799"/>
    <x v="5"/>
  </r>
  <r>
    <n v="1069"/>
    <d v="2024-06-28T00:00:00"/>
    <s v="C110"/>
    <s v="Vikram Rao"/>
    <s v="P110"/>
    <s v="Steel Water Bottle"/>
    <x v="2"/>
    <n v="3"/>
    <n v="349"/>
    <n v="0"/>
    <x v="1"/>
    <n v="1047"/>
    <x v="5"/>
  </r>
  <r>
    <n v="1070"/>
    <d v="2024-06-30T00:00:00"/>
    <s v="C101"/>
    <s v="Rahul Sharma"/>
    <s v="P510"/>
    <s v="Face Moisturizer"/>
    <x v="4"/>
    <n v="2"/>
    <n v="599"/>
    <n v="15"/>
    <x v="0"/>
    <n v="1018.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2:H9" firstHeaderRow="1" firstDataRow="1" firstDataCol="1"/>
  <pivotFields count="13">
    <pivotField showAll="0"/>
    <pivotField numFmtId="14" showAll="0"/>
    <pivotField showAll="0"/>
    <pivotField showAll="0"/>
    <pivotField showAll="0"/>
    <pivotField showAll="0"/>
    <pivotField showAll="0">
      <items count="8">
        <item x="4"/>
        <item x="0"/>
        <item x="1"/>
        <item x="3"/>
        <item x="2"/>
        <item x="5"/>
        <item x="6"/>
        <item t="default"/>
      </items>
    </pivotField>
    <pivotField showAll="0"/>
    <pivotField showAll="0"/>
    <pivotField showAll="0"/>
    <pivotField showAll="0">
      <items count="11">
        <item x="6"/>
        <item x="3"/>
        <item x="4"/>
        <item x="2"/>
        <item x="5"/>
        <item x="7"/>
        <item x="9"/>
        <item x="0"/>
        <item x="1"/>
        <item x="8"/>
        <item t="default"/>
      </items>
    </pivotField>
    <pivotField dataField="1" showAll="0"/>
    <pivotField axis="axisRow" showAll="0">
      <items count="7">
        <item x="0"/>
        <item x="1"/>
        <item x="2"/>
        <item x="3"/>
        <item x="4"/>
        <item x="5"/>
        <item t="default"/>
      </items>
    </pivotField>
  </pivotFields>
  <rowFields count="1">
    <field x="12"/>
  </rowFields>
  <rowItems count="7">
    <i>
      <x/>
    </i>
    <i>
      <x v="1"/>
    </i>
    <i>
      <x v="2"/>
    </i>
    <i>
      <x v="3"/>
    </i>
    <i>
      <x v="4"/>
    </i>
    <i>
      <x v="5"/>
    </i>
    <i t="grand">
      <x/>
    </i>
  </rowItems>
  <colItems count="1">
    <i/>
  </colItems>
  <dataFields count="1">
    <dataField name="Sum of Total_Sales"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B10" firstHeaderRow="1" firstDataRow="1" firstDataCol="1"/>
  <pivotFields count="13">
    <pivotField showAll="0"/>
    <pivotField numFmtId="14" showAll="0"/>
    <pivotField showAll="0"/>
    <pivotField showAll="0"/>
    <pivotField showAll="0"/>
    <pivotField showAll="0"/>
    <pivotField axis="axisRow" showAll="0">
      <items count="8">
        <item x="4"/>
        <item x="0"/>
        <item x="1"/>
        <item x="3"/>
        <item x="2"/>
        <item x="5"/>
        <item x="6"/>
        <item t="default"/>
      </items>
    </pivotField>
    <pivotField showAll="0"/>
    <pivotField showAll="0"/>
    <pivotField showAll="0"/>
    <pivotField showAll="0"/>
    <pivotField dataField="1" showAll="0"/>
    <pivotField showAll="0">
      <items count="7">
        <item x="0"/>
        <item x="1"/>
        <item x="2"/>
        <item x="3"/>
        <item x="4"/>
        <item x="5"/>
        <item t="default"/>
      </items>
    </pivotField>
  </pivotFields>
  <rowFields count="1">
    <field x="6"/>
  </rowFields>
  <rowItems count="8">
    <i>
      <x/>
    </i>
    <i>
      <x v="1"/>
    </i>
    <i>
      <x v="2"/>
    </i>
    <i>
      <x v="3"/>
    </i>
    <i>
      <x v="4"/>
    </i>
    <i>
      <x v="5"/>
    </i>
    <i>
      <x v="6"/>
    </i>
    <i t="grand">
      <x/>
    </i>
  </rowItems>
  <colItems count="1">
    <i/>
  </colItems>
  <dataFields count="1">
    <dataField name="Sum of Total_Sales" fld="11"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E13" firstHeaderRow="1" firstDataRow="1" firstDataCol="1"/>
  <pivotFields count="13">
    <pivotField showAll="0"/>
    <pivotField numFmtId="14" showAll="0"/>
    <pivotField showAll="0"/>
    <pivotField showAll="0"/>
    <pivotField showAll="0"/>
    <pivotField showAll="0"/>
    <pivotField showAll="0">
      <items count="8">
        <item x="4"/>
        <item x="0"/>
        <item x="1"/>
        <item x="3"/>
        <item x="2"/>
        <item x="5"/>
        <item x="6"/>
        <item t="default"/>
      </items>
    </pivotField>
    <pivotField showAll="0"/>
    <pivotField showAll="0"/>
    <pivotField showAll="0"/>
    <pivotField axis="axisRow" showAll="0">
      <items count="11">
        <item x="6"/>
        <item x="3"/>
        <item x="4"/>
        <item x="2"/>
        <item x="5"/>
        <item x="7"/>
        <item x="9"/>
        <item x="0"/>
        <item x="1"/>
        <item x="8"/>
        <item t="default"/>
      </items>
    </pivotField>
    <pivotField dataField="1" showAll="0"/>
    <pivotField showAll="0">
      <items count="7">
        <item x="0"/>
        <item x="1"/>
        <item x="2"/>
        <item x="3"/>
        <item x="4"/>
        <item x="5"/>
        <item t="default"/>
      </items>
    </pivotField>
  </pivotFields>
  <rowFields count="1">
    <field x="10"/>
  </rowFields>
  <rowItems count="11">
    <i>
      <x/>
    </i>
    <i>
      <x v="1"/>
    </i>
    <i>
      <x v="2"/>
    </i>
    <i>
      <x v="3"/>
    </i>
    <i>
      <x v="4"/>
    </i>
    <i>
      <x v="5"/>
    </i>
    <i>
      <x v="6"/>
    </i>
    <i>
      <x v="7"/>
    </i>
    <i>
      <x v="8"/>
    </i>
    <i>
      <x v="9"/>
    </i>
    <i t="grand">
      <x/>
    </i>
  </rowItems>
  <colItems count="1">
    <i/>
  </colItems>
  <dataFields count="1">
    <dataField name="Sum of Total_Sales"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9F79C325-E666-4110-B343-1922149B8570}" sourceName="category">
  <pivotTables>
    <pivotTable tabId="4" name="PivotTable2"/>
  </pivotTables>
  <data>
    <tabular pivotCacheId="220801111">
      <items count="7">
        <i x="4" s="1"/>
        <i x="0" s="1"/>
        <i x="1" s="1"/>
        <i x="3" s="1"/>
        <i x="2"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D102B5BC-1CEF-4313-B756-DA15E10A1C31}" sourceName="city">
  <pivotTables>
    <pivotTable tabId="4" name="PivotTable2"/>
  </pivotTables>
  <data>
    <tabular pivotCacheId="220801111">
      <items count="10">
        <i x="6" s="1"/>
        <i x="3" s="1"/>
        <i x="4" s="1"/>
        <i x="2" s="1"/>
        <i x="5" s="1"/>
        <i x="7" s="1"/>
        <i x="9" s="1"/>
        <i x="0" s="1"/>
        <i x="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5C7FC81D-430C-4C3C-B9C6-FAE04F86EDB1}" sourceName="Month">
  <pivotTables>
    <pivotTable tabId="4" name="PivotTable2"/>
  </pivotTables>
  <data>
    <tabular pivotCacheId="22080111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AD8119F-9A89-498F-A009-9E1DC3310D27}" cache="Slicer_category1" caption="category" style="SlicerStyleDark1" rowHeight="257175"/>
  <slicer name="city" xr10:uid="{757566C3-058E-4BAC-8F6F-00F51C169ECD}" cache="Slicer_city1" caption="city" style="SlicerStyleDark1" rowHeight="257175"/>
  <slicer name="Month" xr10:uid="{97983ACC-6264-47A1-B6A9-B1E961887B72}" cache="Slicer_Month1" caption="Month"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71" totalsRowShown="0" headerRowDxfId="16" headerRowBorderDxfId="15" tableBorderDxfId="14" totalsRowBorderDxfId="13">
  <tableColumns count="13">
    <tableColumn id="1" xr3:uid="{00000000-0010-0000-0000-000001000000}" name="order_id" dataDxfId="12"/>
    <tableColumn id="2" xr3:uid="{00000000-0010-0000-0000-000002000000}" name="order_date" dataDxfId="11"/>
    <tableColumn id="3" xr3:uid="{00000000-0010-0000-0000-000003000000}" name="customer_id" dataDxfId="10"/>
    <tableColumn id="4" xr3:uid="{00000000-0010-0000-0000-000004000000}" name="customer_name" dataDxfId="9"/>
    <tableColumn id="5" xr3:uid="{00000000-0010-0000-0000-000005000000}" name="product_id" dataDxfId="8"/>
    <tableColumn id="6" xr3:uid="{00000000-0010-0000-0000-000006000000}" name="product_name" dataDxfId="7"/>
    <tableColumn id="7" xr3:uid="{00000000-0010-0000-0000-000007000000}" name="category" dataDxfId="6"/>
    <tableColumn id="8" xr3:uid="{00000000-0010-0000-0000-000008000000}" name="quantity" dataDxfId="5"/>
    <tableColumn id="9" xr3:uid="{00000000-0010-0000-0000-000009000000}" name="unit_price" dataDxfId="4"/>
    <tableColumn id="10" xr3:uid="{00000000-0010-0000-0000-00000A000000}" name="discount_pct" dataDxfId="3"/>
    <tableColumn id="11" xr3:uid="{00000000-0010-0000-0000-00000B000000}" name="city" dataDxfId="2"/>
    <tableColumn id="12" xr3:uid="{00000000-0010-0000-0000-00000C000000}" name="Total_Sales" dataDxfId="1">
      <calculatedColumnFormula>Table1[[#This Row],[quantity]]*Table1[[#This Row],[unit_price]]*(1-J2/100)</calculatedColumnFormula>
    </tableColumn>
    <tableColumn id="13" xr3:uid="{00000000-0010-0000-0000-00000D000000}" name="Month" dataDxfId="0">
      <calculatedColumnFormula>TEXT(Table1[[#This Row],[order_date]],"mmm")</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1"/>
  <sheetViews>
    <sheetView workbookViewId="0">
      <selection activeCell="R5" sqref="R5"/>
    </sheetView>
  </sheetViews>
  <sheetFormatPr defaultRowHeight="15" x14ac:dyDescent="0.25"/>
  <cols>
    <col min="1" max="1" width="8.42578125" bestFit="1" customWidth="1"/>
    <col min="2" max="2" width="10.7109375" bestFit="1" customWidth="1"/>
    <col min="3" max="3" width="12.140625" bestFit="1" customWidth="1"/>
    <col min="4" max="4" width="15.5703125" bestFit="1" customWidth="1"/>
    <col min="5" max="5" width="10.5703125" bestFit="1" customWidth="1"/>
    <col min="6" max="6" width="19.5703125" bestFit="1" customWidth="1"/>
    <col min="7" max="7" width="15" bestFit="1" customWidth="1"/>
    <col min="8" max="8" width="8.42578125" bestFit="1" customWidth="1"/>
    <col min="9" max="9" width="10" bestFit="1" customWidth="1"/>
    <col min="10" max="10" width="12.5703125" bestFit="1" customWidth="1"/>
    <col min="11" max="11" width="11.7109375" bestFit="1" customWidth="1"/>
    <col min="12" max="12" width="11.140625" bestFit="1" customWidth="1"/>
    <col min="13" max="13" width="6.7109375" bestFit="1" customWidth="1"/>
  </cols>
  <sheetData>
    <row r="1" spans="1:13" x14ac:dyDescent="0.25">
      <c r="A1" s="1" t="s">
        <v>0</v>
      </c>
      <c r="B1" s="2" t="s">
        <v>1</v>
      </c>
      <c r="C1" s="2" t="s">
        <v>2</v>
      </c>
      <c r="D1" s="2" t="s">
        <v>3</v>
      </c>
      <c r="E1" s="2" t="s">
        <v>4</v>
      </c>
      <c r="F1" s="2" t="s">
        <v>5</v>
      </c>
      <c r="G1" s="2" t="s">
        <v>6</v>
      </c>
      <c r="H1" s="2" t="s">
        <v>7</v>
      </c>
      <c r="I1" s="2" t="s">
        <v>8</v>
      </c>
      <c r="J1" s="2" t="s">
        <v>9</v>
      </c>
      <c r="K1" s="3" t="s">
        <v>10</v>
      </c>
      <c r="L1" s="2" t="s">
        <v>11</v>
      </c>
      <c r="M1" s="2" t="s">
        <v>12</v>
      </c>
    </row>
    <row r="2" spans="1:13" x14ac:dyDescent="0.25">
      <c r="A2" s="4">
        <v>1001</v>
      </c>
      <c r="B2" s="5">
        <v>45294</v>
      </c>
      <c r="C2" s="6" t="s">
        <v>13</v>
      </c>
      <c r="D2" s="6" t="s">
        <v>14</v>
      </c>
      <c r="E2" s="6" t="s">
        <v>15</v>
      </c>
      <c r="F2" s="6" t="s">
        <v>16</v>
      </c>
      <c r="G2" s="6" t="s">
        <v>17</v>
      </c>
      <c r="H2" s="6">
        <v>2</v>
      </c>
      <c r="I2" s="6">
        <v>499</v>
      </c>
      <c r="J2" s="6">
        <v>10</v>
      </c>
      <c r="K2" s="7" t="s">
        <v>18</v>
      </c>
      <c r="L2" s="2">
        <f>Table1[[#This Row],[quantity]]*Table1[[#This Row],[unit_price]]*(1-J2/100)</f>
        <v>898.2</v>
      </c>
      <c r="M2" s="2" t="str">
        <f>TEXT(Table1[[#This Row],[order_date]],"mmm")</f>
        <v>Jan</v>
      </c>
    </row>
    <row r="3" spans="1:13" x14ac:dyDescent="0.25">
      <c r="A3" s="4">
        <v>1002</v>
      </c>
      <c r="B3" s="5">
        <v>45296</v>
      </c>
      <c r="C3" s="6" t="s">
        <v>19</v>
      </c>
      <c r="D3" s="6" t="s">
        <v>20</v>
      </c>
      <c r="E3" s="6" t="s">
        <v>21</v>
      </c>
      <c r="F3" s="6" t="s">
        <v>22</v>
      </c>
      <c r="G3" s="6" t="s">
        <v>23</v>
      </c>
      <c r="H3" s="6">
        <v>1</v>
      </c>
      <c r="I3" s="6">
        <v>1299</v>
      </c>
      <c r="J3" s="6">
        <v>5</v>
      </c>
      <c r="K3" s="7" t="s">
        <v>24</v>
      </c>
      <c r="L3" s="6">
        <f>Table1[[#This Row],[quantity]]*Table1[[#This Row],[unit_price]]*(1-J3/100)</f>
        <v>1234.05</v>
      </c>
      <c r="M3" s="6" t="str">
        <f>TEXT(Table1[[#This Row],[order_date]],"mmm")</f>
        <v>Jan</v>
      </c>
    </row>
    <row r="4" spans="1:13" x14ac:dyDescent="0.25">
      <c r="A4" s="4">
        <v>1003</v>
      </c>
      <c r="B4" s="5">
        <v>45298</v>
      </c>
      <c r="C4" s="6" t="s">
        <v>25</v>
      </c>
      <c r="D4" s="6" t="s">
        <v>26</v>
      </c>
      <c r="E4" s="6" t="s">
        <v>27</v>
      </c>
      <c r="F4" s="6" t="s">
        <v>28</v>
      </c>
      <c r="G4" s="6" t="s">
        <v>29</v>
      </c>
      <c r="H4" s="6">
        <v>3</v>
      </c>
      <c r="I4" s="6">
        <v>349</v>
      </c>
      <c r="J4" s="6">
        <v>0</v>
      </c>
      <c r="K4" s="7" t="s">
        <v>30</v>
      </c>
      <c r="L4" s="6">
        <f>Table1[[#This Row],[quantity]]*Table1[[#This Row],[unit_price]]*(1-J4/100)</f>
        <v>1047</v>
      </c>
      <c r="M4" s="6" t="str">
        <f>TEXT(Table1[[#This Row],[order_date]],"mmm")</f>
        <v>Jan</v>
      </c>
    </row>
    <row r="5" spans="1:13" x14ac:dyDescent="0.25">
      <c r="A5" s="4">
        <v>1004</v>
      </c>
      <c r="B5" s="5">
        <v>45301</v>
      </c>
      <c r="C5" s="6" t="s">
        <v>13</v>
      </c>
      <c r="D5" s="6" t="s">
        <v>14</v>
      </c>
      <c r="E5" s="6" t="s">
        <v>31</v>
      </c>
      <c r="F5" s="6" t="s">
        <v>32</v>
      </c>
      <c r="G5" s="6" t="s">
        <v>33</v>
      </c>
      <c r="H5" s="6">
        <v>1</v>
      </c>
      <c r="I5" s="6">
        <v>1899</v>
      </c>
      <c r="J5" s="6">
        <v>15</v>
      </c>
      <c r="K5" s="7" t="s">
        <v>18</v>
      </c>
      <c r="L5" s="6">
        <f>Table1[[#This Row],[quantity]]*Table1[[#This Row],[unit_price]]*(1-J5/100)</f>
        <v>1614.1499999999999</v>
      </c>
      <c r="M5" s="6" t="str">
        <f>TEXT(Table1[[#This Row],[order_date]],"mmm")</f>
        <v>Jan</v>
      </c>
    </row>
    <row r="6" spans="1:13" x14ac:dyDescent="0.25">
      <c r="A6" s="4">
        <v>1005</v>
      </c>
      <c r="B6" s="5">
        <v>45303</v>
      </c>
      <c r="C6" s="6" t="s">
        <v>34</v>
      </c>
      <c r="D6" s="6" t="s">
        <v>35</v>
      </c>
      <c r="E6" s="6" t="s">
        <v>15</v>
      </c>
      <c r="F6" s="6" t="s">
        <v>16</v>
      </c>
      <c r="G6" s="6" t="s">
        <v>17</v>
      </c>
      <c r="H6" s="6">
        <v>1</v>
      </c>
      <c r="I6" s="6">
        <v>499</v>
      </c>
      <c r="J6" s="6">
        <v>0</v>
      </c>
      <c r="K6" s="7" t="s">
        <v>24</v>
      </c>
      <c r="L6" s="6">
        <f>Table1[[#This Row],[quantity]]*Table1[[#This Row],[unit_price]]*(1-J6/100)</f>
        <v>499</v>
      </c>
      <c r="M6" s="6" t="str">
        <f>TEXT(Table1[[#This Row],[order_date]],"mmm")</f>
        <v>Jan</v>
      </c>
    </row>
    <row r="7" spans="1:13" x14ac:dyDescent="0.25">
      <c r="A7" s="4">
        <v>1006</v>
      </c>
      <c r="B7" s="5">
        <v>45306</v>
      </c>
      <c r="C7" s="6" t="s">
        <v>36</v>
      </c>
      <c r="D7" s="6" t="s">
        <v>37</v>
      </c>
      <c r="E7" s="6" t="s">
        <v>21</v>
      </c>
      <c r="F7" s="6" t="s">
        <v>22</v>
      </c>
      <c r="G7" s="6" t="s">
        <v>23</v>
      </c>
      <c r="H7" s="6">
        <v>2</v>
      </c>
      <c r="I7" s="6">
        <v>1299</v>
      </c>
      <c r="J7" s="6">
        <v>10</v>
      </c>
      <c r="K7" s="7" t="s">
        <v>38</v>
      </c>
      <c r="L7" s="6">
        <f>Table1[[#This Row],[quantity]]*Table1[[#This Row],[unit_price]]*(1-J7/100)</f>
        <v>2338.2000000000003</v>
      </c>
      <c r="M7" s="6" t="str">
        <f>TEXT(Table1[[#This Row],[order_date]],"mmm")</f>
        <v>Jan</v>
      </c>
    </row>
    <row r="8" spans="1:13" x14ac:dyDescent="0.25">
      <c r="A8" s="4">
        <v>1007</v>
      </c>
      <c r="B8" s="5">
        <v>45309</v>
      </c>
      <c r="C8" s="6" t="s">
        <v>39</v>
      </c>
      <c r="D8" s="6" t="s">
        <v>40</v>
      </c>
      <c r="E8" s="6" t="s">
        <v>41</v>
      </c>
      <c r="F8" s="6" t="s">
        <v>42</v>
      </c>
      <c r="G8" s="6" t="s">
        <v>43</v>
      </c>
      <c r="H8" s="6">
        <v>2</v>
      </c>
      <c r="I8" s="6">
        <v>599</v>
      </c>
      <c r="J8" s="6">
        <v>5</v>
      </c>
      <c r="K8" s="7" t="s">
        <v>44</v>
      </c>
      <c r="L8" s="6">
        <f>Table1[[#This Row],[quantity]]*Table1[[#This Row],[unit_price]]*(1-J8/100)</f>
        <v>1138.0999999999999</v>
      </c>
      <c r="M8" s="6" t="str">
        <f>TEXT(Table1[[#This Row],[order_date]],"mmm")</f>
        <v>Jan</v>
      </c>
    </row>
    <row r="9" spans="1:13" x14ac:dyDescent="0.25">
      <c r="A9" s="4">
        <v>1008</v>
      </c>
      <c r="B9" s="5">
        <v>45311</v>
      </c>
      <c r="C9" s="6" t="s">
        <v>19</v>
      </c>
      <c r="D9" s="6" t="s">
        <v>20</v>
      </c>
      <c r="E9" s="6" t="s">
        <v>27</v>
      </c>
      <c r="F9" s="6" t="s">
        <v>28</v>
      </c>
      <c r="G9" s="6" t="s">
        <v>29</v>
      </c>
      <c r="H9" s="6">
        <v>1</v>
      </c>
      <c r="I9" s="6">
        <v>349</v>
      </c>
      <c r="J9" s="6">
        <v>0</v>
      </c>
      <c r="K9" s="7" t="s">
        <v>24</v>
      </c>
      <c r="L9" s="6">
        <f>Table1[[#This Row],[quantity]]*Table1[[#This Row],[unit_price]]*(1-J9/100)</f>
        <v>349</v>
      </c>
      <c r="M9" s="6" t="str">
        <f>TEXT(Table1[[#This Row],[order_date]],"mmm")</f>
        <v>Jan</v>
      </c>
    </row>
    <row r="10" spans="1:13" x14ac:dyDescent="0.25">
      <c r="A10" s="4">
        <v>1009</v>
      </c>
      <c r="B10" s="5">
        <v>45313</v>
      </c>
      <c r="C10" s="6" t="s">
        <v>45</v>
      </c>
      <c r="D10" s="6" t="s">
        <v>46</v>
      </c>
      <c r="E10" s="6" t="s">
        <v>47</v>
      </c>
      <c r="F10" s="6" t="s">
        <v>48</v>
      </c>
      <c r="G10" s="6" t="s">
        <v>49</v>
      </c>
      <c r="H10" s="6">
        <v>1</v>
      </c>
      <c r="I10" s="6">
        <v>799</v>
      </c>
      <c r="J10" s="6">
        <v>0</v>
      </c>
      <c r="K10" s="7" t="s">
        <v>30</v>
      </c>
      <c r="L10" s="6">
        <f>Table1[[#This Row],[quantity]]*Table1[[#This Row],[unit_price]]*(1-J10/100)</f>
        <v>799</v>
      </c>
      <c r="M10" s="6" t="str">
        <f>TEXT(Table1[[#This Row],[order_date]],"mmm")</f>
        <v>Jan</v>
      </c>
    </row>
    <row r="11" spans="1:13" x14ac:dyDescent="0.25">
      <c r="A11" s="4">
        <v>1010</v>
      </c>
      <c r="B11" s="5">
        <v>45316</v>
      </c>
      <c r="C11" s="6" t="s">
        <v>50</v>
      </c>
      <c r="D11" s="6" t="s">
        <v>51</v>
      </c>
      <c r="E11" s="6" t="s">
        <v>15</v>
      </c>
      <c r="F11" s="6" t="s">
        <v>16</v>
      </c>
      <c r="G11" s="6" t="s">
        <v>17</v>
      </c>
      <c r="H11" s="6">
        <v>3</v>
      </c>
      <c r="I11" s="6">
        <v>499</v>
      </c>
      <c r="J11" s="6">
        <v>10</v>
      </c>
      <c r="K11" s="7" t="s">
        <v>52</v>
      </c>
      <c r="L11" s="6">
        <f>Table1[[#This Row],[quantity]]*Table1[[#This Row],[unit_price]]*(1-J11/100)</f>
        <v>1347.3</v>
      </c>
      <c r="M11" s="6" t="str">
        <f>TEXT(Table1[[#This Row],[order_date]],"mmm")</f>
        <v>Jan</v>
      </c>
    </row>
    <row r="12" spans="1:13" x14ac:dyDescent="0.25">
      <c r="A12" s="4">
        <v>1011</v>
      </c>
      <c r="B12" s="5">
        <v>45319</v>
      </c>
      <c r="C12" s="6" t="s">
        <v>25</v>
      </c>
      <c r="D12" s="6" t="s">
        <v>26</v>
      </c>
      <c r="E12" s="6" t="s">
        <v>31</v>
      </c>
      <c r="F12" s="6" t="s">
        <v>32</v>
      </c>
      <c r="G12" s="6" t="s">
        <v>33</v>
      </c>
      <c r="H12" s="6">
        <v>1</v>
      </c>
      <c r="I12" s="6">
        <v>1899</v>
      </c>
      <c r="J12" s="6">
        <v>0</v>
      </c>
      <c r="K12" s="7" t="s">
        <v>30</v>
      </c>
      <c r="L12" s="6">
        <f>Table1[[#This Row],[quantity]]*Table1[[#This Row],[unit_price]]*(1-J12/100)</f>
        <v>1899</v>
      </c>
      <c r="M12" s="6" t="str">
        <f>TEXT(Table1[[#This Row],[order_date]],"mmm")</f>
        <v>Jan</v>
      </c>
    </row>
    <row r="13" spans="1:13" x14ac:dyDescent="0.25">
      <c r="A13" s="4">
        <v>1012</v>
      </c>
      <c r="B13" s="5">
        <v>45324</v>
      </c>
      <c r="C13" s="6" t="s">
        <v>53</v>
      </c>
      <c r="D13" s="6" t="s">
        <v>54</v>
      </c>
      <c r="E13" s="6" t="s">
        <v>21</v>
      </c>
      <c r="F13" s="6" t="s">
        <v>22</v>
      </c>
      <c r="G13" s="6" t="s">
        <v>23</v>
      </c>
      <c r="H13" s="6">
        <v>1</v>
      </c>
      <c r="I13" s="6">
        <v>1299</v>
      </c>
      <c r="J13" s="6">
        <v>0</v>
      </c>
      <c r="K13" s="7" t="s">
        <v>18</v>
      </c>
      <c r="L13" s="6">
        <f>Table1[[#This Row],[quantity]]*Table1[[#This Row],[unit_price]]*(1-J13/100)</f>
        <v>1299</v>
      </c>
      <c r="M13" s="6" t="str">
        <f>TEXT(Table1[[#This Row],[order_date]],"mmm")</f>
        <v>Feb</v>
      </c>
    </row>
    <row r="14" spans="1:13" x14ac:dyDescent="0.25">
      <c r="A14" s="4">
        <v>1013</v>
      </c>
      <c r="B14" s="5">
        <v>45326</v>
      </c>
      <c r="C14" s="6" t="s">
        <v>55</v>
      </c>
      <c r="D14" s="6" t="s">
        <v>56</v>
      </c>
      <c r="E14" s="6" t="s">
        <v>57</v>
      </c>
      <c r="F14" s="6" t="s">
        <v>58</v>
      </c>
      <c r="G14" s="6" t="s">
        <v>59</v>
      </c>
      <c r="H14" s="6">
        <v>4</v>
      </c>
      <c r="I14" s="6">
        <v>199</v>
      </c>
      <c r="J14" s="6">
        <v>0</v>
      </c>
      <c r="K14" s="7" t="s">
        <v>24</v>
      </c>
      <c r="L14" s="6">
        <f>Table1[[#This Row],[quantity]]*Table1[[#This Row],[unit_price]]*(1-J14/100)</f>
        <v>796</v>
      </c>
      <c r="M14" s="6" t="str">
        <f>TEXT(Table1[[#This Row],[order_date]],"mmm")</f>
        <v>Feb</v>
      </c>
    </row>
    <row r="15" spans="1:13" x14ac:dyDescent="0.25">
      <c r="A15" s="4">
        <v>1014</v>
      </c>
      <c r="B15" s="5">
        <v>45328</v>
      </c>
      <c r="C15" s="6" t="s">
        <v>13</v>
      </c>
      <c r="D15" s="6" t="s">
        <v>14</v>
      </c>
      <c r="E15" s="6" t="s">
        <v>41</v>
      </c>
      <c r="F15" s="6" t="s">
        <v>42</v>
      </c>
      <c r="G15" s="6" t="s">
        <v>43</v>
      </c>
      <c r="H15" s="6">
        <v>1</v>
      </c>
      <c r="I15" s="6">
        <v>599</v>
      </c>
      <c r="J15" s="6">
        <v>5</v>
      </c>
      <c r="K15" s="7" t="s">
        <v>18</v>
      </c>
      <c r="L15" s="6">
        <f>Table1[[#This Row],[quantity]]*Table1[[#This Row],[unit_price]]*(1-J15/100)</f>
        <v>569.04999999999995</v>
      </c>
      <c r="M15" s="6" t="str">
        <f>TEXT(Table1[[#This Row],[order_date]],"mmm")</f>
        <v>Feb</v>
      </c>
    </row>
    <row r="16" spans="1:13" x14ac:dyDescent="0.25">
      <c r="A16" s="4">
        <v>1015</v>
      </c>
      <c r="B16" s="5">
        <v>45331</v>
      </c>
      <c r="C16" s="6" t="s">
        <v>60</v>
      </c>
      <c r="D16" s="6" t="s">
        <v>61</v>
      </c>
      <c r="E16" s="6" t="s">
        <v>47</v>
      </c>
      <c r="F16" s="6" t="s">
        <v>48</v>
      </c>
      <c r="G16" s="6" t="s">
        <v>49</v>
      </c>
      <c r="H16" s="6">
        <v>2</v>
      </c>
      <c r="I16" s="6">
        <v>799</v>
      </c>
      <c r="J16" s="6">
        <v>10</v>
      </c>
      <c r="K16" s="7" t="s">
        <v>24</v>
      </c>
      <c r="L16" s="6">
        <f>Table1[[#This Row],[quantity]]*Table1[[#This Row],[unit_price]]*(1-J16/100)</f>
        <v>1438.2</v>
      </c>
      <c r="M16" s="6" t="str">
        <f>TEXT(Table1[[#This Row],[order_date]],"mmm")</f>
        <v>Feb</v>
      </c>
    </row>
    <row r="17" spans="1:13" x14ac:dyDescent="0.25">
      <c r="A17" s="4">
        <v>1016</v>
      </c>
      <c r="B17" s="5">
        <v>45333</v>
      </c>
      <c r="C17" s="6" t="s">
        <v>34</v>
      </c>
      <c r="D17" s="6" t="s">
        <v>35</v>
      </c>
      <c r="E17" s="6" t="s">
        <v>27</v>
      </c>
      <c r="F17" s="6" t="s">
        <v>28</v>
      </c>
      <c r="G17" s="6" t="s">
        <v>29</v>
      </c>
      <c r="H17" s="6">
        <v>2</v>
      </c>
      <c r="I17" s="6">
        <v>349</v>
      </c>
      <c r="J17" s="6">
        <v>0</v>
      </c>
      <c r="K17" s="7" t="s">
        <v>24</v>
      </c>
      <c r="L17" s="6">
        <f>Table1[[#This Row],[quantity]]*Table1[[#This Row],[unit_price]]*(1-J17/100)</f>
        <v>698</v>
      </c>
      <c r="M17" s="6" t="str">
        <f>TEXT(Table1[[#This Row],[order_date]],"mmm")</f>
        <v>Feb</v>
      </c>
    </row>
    <row r="18" spans="1:13" x14ac:dyDescent="0.25">
      <c r="A18" s="4">
        <v>1017</v>
      </c>
      <c r="B18" s="5">
        <v>45336</v>
      </c>
      <c r="C18" s="6" t="s">
        <v>62</v>
      </c>
      <c r="D18" s="6" t="s">
        <v>63</v>
      </c>
      <c r="E18" s="6" t="s">
        <v>15</v>
      </c>
      <c r="F18" s="6" t="s">
        <v>16</v>
      </c>
      <c r="G18" s="6" t="s">
        <v>17</v>
      </c>
      <c r="H18" s="6">
        <v>2</v>
      </c>
      <c r="I18" s="6">
        <v>499</v>
      </c>
      <c r="J18" s="6">
        <v>20</v>
      </c>
      <c r="K18" s="7" t="s">
        <v>30</v>
      </c>
      <c r="L18" s="6">
        <f>Table1[[#This Row],[quantity]]*Table1[[#This Row],[unit_price]]*(1-J18/100)</f>
        <v>798.40000000000009</v>
      </c>
      <c r="M18" s="6" t="str">
        <f>TEXT(Table1[[#This Row],[order_date]],"mmm")</f>
        <v>Feb</v>
      </c>
    </row>
    <row r="19" spans="1:13" x14ac:dyDescent="0.25">
      <c r="A19" s="4">
        <v>1018</v>
      </c>
      <c r="B19" s="5">
        <v>45338</v>
      </c>
      <c r="C19" s="6" t="s">
        <v>36</v>
      </c>
      <c r="D19" s="6" t="s">
        <v>37</v>
      </c>
      <c r="E19" s="6" t="s">
        <v>31</v>
      </c>
      <c r="F19" s="6" t="s">
        <v>32</v>
      </c>
      <c r="G19" s="6" t="s">
        <v>33</v>
      </c>
      <c r="H19" s="6">
        <v>1</v>
      </c>
      <c r="I19" s="6">
        <v>1899</v>
      </c>
      <c r="J19" s="6">
        <v>5</v>
      </c>
      <c r="K19" s="7" t="s">
        <v>38</v>
      </c>
      <c r="L19" s="6">
        <f>Table1[[#This Row],[quantity]]*Table1[[#This Row],[unit_price]]*(1-J19/100)</f>
        <v>1804.05</v>
      </c>
      <c r="M19" s="6" t="str">
        <f>TEXT(Table1[[#This Row],[order_date]],"mmm")</f>
        <v>Feb</v>
      </c>
    </row>
    <row r="20" spans="1:13" x14ac:dyDescent="0.25">
      <c r="A20" s="4">
        <v>1019</v>
      </c>
      <c r="B20" s="5">
        <v>45341</v>
      </c>
      <c r="C20" s="6" t="s">
        <v>64</v>
      </c>
      <c r="D20" s="6" t="s">
        <v>65</v>
      </c>
      <c r="E20" s="6" t="s">
        <v>57</v>
      </c>
      <c r="F20" s="6" t="s">
        <v>58</v>
      </c>
      <c r="G20" s="6" t="s">
        <v>59</v>
      </c>
      <c r="H20" s="6">
        <v>2</v>
      </c>
      <c r="I20" s="6">
        <v>199</v>
      </c>
      <c r="J20" s="6">
        <v>0</v>
      </c>
      <c r="K20" s="7" t="s">
        <v>44</v>
      </c>
      <c r="L20" s="6">
        <f>Table1[[#This Row],[quantity]]*Table1[[#This Row],[unit_price]]*(1-J20/100)</f>
        <v>398</v>
      </c>
      <c r="M20" s="6" t="str">
        <f>TEXT(Table1[[#This Row],[order_date]],"mmm")</f>
        <v>Feb</v>
      </c>
    </row>
    <row r="21" spans="1:13" x14ac:dyDescent="0.25">
      <c r="A21" s="4">
        <v>1020</v>
      </c>
      <c r="B21" s="5">
        <v>45344</v>
      </c>
      <c r="C21" s="6" t="s">
        <v>39</v>
      </c>
      <c r="D21" s="6" t="s">
        <v>40</v>
      </c>
      <c r="E21" s="6" t="s">
        <v>21</v>
      </c>
      <c r="F21" s="6" t="s">
        <v>22</v>
      </c>
      <c r="G21" s="6" t="s">
        <v>23</v>
      </c>
      <c r="H21" s="6">
        <v>1</v>
      </c>
      <c r="I21" s="6">
        <v>1299</v>
      </c>
      <c r="J21" s="6">
        <v>0</v>
      </c>
      <c r="K21" s="7" t="s">
        <v>38</v>
      </c>
      <c r="L21" s="6">
        <f>Table1[[#This Row],[quantity]]*Table1[[#This Row],[unit_price]]*(1-J21/100)</f>
        <v>1299</v>
      </c>
      <c r="M21" s="6" t="str">
        <f>TEXT(Table1[[#This Row],[order_date]],"mmm")</f>
        <v>Feb</v>
      </c>
    </row>
    <row r="22" spans="1:13" x14ac:dyDescent="0.25">
      <c r="A22" s="4">
        <v>1021</v>
      </c>
      <c r="B22" s="5">
        <v>45347</v>
      </c>
      <c r="C22" s="6" t="s">
        <v>66</v>
      </c>
      <c r="D22" s="6" t="s">
        <v>67</v>
      </c>
      <c r="E22" s="6" t="s">
        <v>41</v>
      </c>
      <c r="F22" s="6" t="s">
        <v>42</v>
      </c>
      <c r="G22" s="6" t="s">
        <v>43</v>
      </c>
      <c r="H22" s="6">
        <v>3</v>
      </c>
      <c r="I22" s="6">
        <v>599</v>
      </c>
      <c r="J22" s="6">
        <v>10</v>
      </c>
      <c r="K22" s="7" t="s">
        <v>18</v>
      </c>
      <c r="L22" s="6">
        <f>Table1[[#This Row],[quantity]]*Table1[[#This Row],[unit_price]]*(1-J22/100)</f>
        <v>1617.3</v>
      </c>
      <c r="M22" s="6" t="str">
        <f>TEXT(Table1[[#This Row],[order_date]],"mmm")</f>
        <v>Feb</v>
      </c>
    </row>
    <row r="23" spans="1:13" x14ac:dyDescent="0.25">
      <c r="A23" s="4">
        <v>1022</v>
      </c>
      <c r="B23" s="5">
        <v>45349</v>
      </c>
      <c r="C23" s="6" t="s">
        <v>45</v>
      </c>
      <c r="D23" s="6" t="s">
        <v>46</v>
      </c>
      <c r="E23" s="6" t="s">
        <v>15</v>
      </c>
      <c r="F23" s="6" t="s">
        <v>16</v>
      </c>
      <c r="G23" s="6" t="s">
        <v>17</v>
      </c>
      <c r="H23" s="6">
        <v>1</v>
      </c>
      <c r="I23" s="6">
        <v>499</v>
      </c>
      <c r="J23" s="6">
        <v>0</v>
      </c>
      <c r="K23" s="7" t="s">
        <v>30</v>
      </c>
      <c r="L23" s="6">
        <f>Table1[[#This Row],[quantity]]*Table1[[#This Row],[unit_price]]*(1-J23/100)</f>
        <v>499</v>
      </c>
      <c r="M23" s="6" t="str">
        <f>TEXT(Table1[[#This Row],[order_date]],"mmm")</f>
        <v>Feb</v>
      </c>
    </row>
    <row r="24" spans="1:13" x14ac:dyDescent="0.25">
      <c r="A24" s="4">
        <v>1023</v>
      </c>
      <c r="B24" s="5">
        <v>45352</v>
      </c>
      <c r="C24" s="6" t="s">
        <v>50</v>
      </c>
      <c r="D24" s="6" t="s">
        <v>51</v>
      </c>
      <c r="E24" s="6" t="s">
        <v>47</v>
      </c>
      <c r="F24" s="6" t="s">
        <v>48</v>
      </c>
      <c r="G24" s="6" t="s">
        <v>49</v>
      </c>
      <c r="H24" s="6">
        <v>1</v>
      </c>
      <c r="I24" s="6">
        <v>799</v>
      </c>
      <c r="J24" s="6">
        <v>0</v>
      </c>
      <c r="K24" s="7" t="s">
        <v>52</v>
      </c>
      <c r="L24" s="6">
        <f>Table1[[#This Row],[quantity]]*Table1[[#This Row],[unit_price]]*(1-J24/100)</f>
        <v>799</v>
      </c>
      <c r="M24" s="6" t="str">
        <f>TEXT(Table1[[#This Row],[order_date]],"mmm")</f>
        <v>Mar</v>
      </c>
    </row>
    <row r="25" spans="1:13" x14ac:dyDescent="0.25">
      <c r="A25" s="4">
        <v>1024</v>
      </c>
      <c r="B25" s="5">
        <v>45355</v>
      </c>
      <c r="C25" s="6" t="s">
        <v>68</v>
      </c>
      <c r="D25" s="6" t="s">
        <v>69</v>
      </c>
      <c r="E25" s="6" t="s">
        <v>21</v>
      </c>
      <c r="F25" s="6" t="s">
        <v>22</v>
      </c>
      <c r="G25" s="6" t="s">
        <v>23</v>
      </c>
      <c r="H25" s="6">
        <v>2</v>
      </c>
      <c r="I25" s="6">
        <v>1299</v>
      </c>
      <c r="J25" s="6">
        <v>15</v>
      </c>
      <c r="K25" s="7" t="s">
        <v>70</v>
      </c>
      <c r="L25" s="6">
        <f>Table1[[#This Row],[quantity]]*Table1[[#This Row],[unit_price]]*(1-J25/100)</f>
        <v>2208.2999999999997</v>
      </c>
      <c r="M25" s="6" t="str">
        <f>TEXT(Table1[[#This Row],[order_date]],"mmm")</f>
        <v>Mar</v>
      </c>
    </row>
    <row r="26" spans="1:13" x14ac:dyDescent="0.25">
      <c r="A26" s="4">
        <v>1025</v>
      </c>
      <c r="B26" s="5">
        <v>45358</v>
      </c>
      <c r="C26" s="6" t="s">
        <v>19</v>
      </c>
      <c r="D26" s="6" t="s">
        <v>20</v>
      </c>
      <c r="E26" s="6" t="s">
        <v>31</v>
      </c>
      <c r="F26" s="6" t="s">
        <v>32</v>
      </c>
      <c r="G26" s="6" t="s">
        <v>33</v>
      </c>
      <c r="H26" s="6">
        <v>1</v>
      </c>
      <c r="I26" s="6">
        <v>1899</v>
      </c>
      <c r="J26" s="6">
        <v>0</v>
      </c>
      <c r="K26" s="7" t="s">
        <v>24</v>
      </c>
      <c r="L26" s="6">
        <f>Table1[[#This Row],[quantity]]*Table1[[#This Row],[unit_price]]*(1-J26/100)</f>
        <v>1899</v>
      </c>
      <c r="M26" s="6" t="str">
        <f>TEXT(Table1[[#This Row],[order_date]],"mmm")</f>
        <v>Mar</v>
      </c>
    </row>
    <row r="27" spans="1:13" x14ac:dyDescent="0.25">
      <c r="A27" s="4">
        <v>1026</v>
      </c>
      <c r="B27" s="5">
        <v>45361</v>
      </c>
      <c r="C27" s="6" t="s">
        <v>53</v>
      </c>
      <c r="D27" s="6" t="s">
        <v>54</v>
      </c>
      <c r="E27" s="6" t="s">
        <v>27</v>
      </c>
      <c r="F27" s="6" t="s">
        <v>28</v>
      </c>
      <c r="G27" s="6" t="s">
        <v>29</v>
      </c>
      <c r="H27" s="6">
        <v>4</v>
      </c>
      <c r="I27" s="6">
        <v>349</v>
      </c>
      <c r="J27" s="6">
        <v>5</v>
      </c>
      <c r="K27" s="7" t="s">
        <v>18</v>
      </c>
      <c r="L27" s="6">
        <f>Table1[[#This Row],[quantity]]*Table1[[#This Row],[unit_price]]*(1-J27/100)</f>
        <v>1326.2</v>
      </c>
      <c r="M27" s="6" t="str">
        <f>TEXT(Table1[[#This Row],[order_date]],"mmm")</f>
        <v>Mar</v>
      </c>
    </row>
    <row r="28" spans="1:13" x14ac:dyDescent="0.25">
      <c r="A28" s="4">
        <v>1027</v>
      </c>
      <c r="B28" s="5">
        <v>45363</v>
      </c>
      <c r="C28" s="6" t="s">
        <v>71</v>
      </c>
      <c r="D28" s="6" t="s">
        <v>72</v>
      </c>
      <c r="E28" s="6" t="s">
        <v>15</v>
      </c>
      <c r="F28" s="6" t="s">
        <v>16</v>
      </c>
      <c r="G28" s="6" t="s">
        <v>17</v>
      </c>
      <c r="H28" s="6">
        <v>2</v>
      </c>
      <c r="I28" s="6">
        <v>499</v>
      </c>
      <c r="J28" s="6">
        <v>10</v>
      </c>
      <c r="K28" s="7" t="s">
        <v>30</v>
      </c>
      <c r="L28" s="6">
        <f>Table1[[#This Row],[quantity]]*Table1[[#This Row],[unit_price]]*(1-J28/100)</f>
        <v>898.2</v>
      </c>
      <c r="M28" s="6" t="str">
        <f>TEXT(Table1[[#This Row],[order_date]],"mmm")</f>
        <v>Mar</v>
      </c>
    </row>
    <row r="29" spans="1:13" x14ac:dyDescent="0.25">
      <c r="A29" s="4">
        <v>1028</v>
      </c>
      <c r="B29" s="5">
        <v>45366</v>
      </c>
      <c r="C29" s="6" t="s">
        <v>55</v>
      </c>
      <c r="D29" s="6" t="s">
        <v>56</v>
      </c>
      <c r="E29" s="6" t="s">
        <v>41</v>
      </c>
      <c r="F29" s="6" t="s">
        <v>42</v>
      </c>
      <c r="G29" s="6" t="s">
        <v>43</v>
      </c>
      <c r="H29" s="6">
        <v>1</v>
      </c>
      <c r="I29" s="6">
        <v>599</v>
      </c>
      <c r="J29" s="6">
        <v>0</v>
      </c>
      <c r="K29" s="7" t="s">
        <v>24</v>
      </c>
      <c r="L29" s="6">
        <f>Table1[[#This Row],[quantity]]*Table1[[#This Row],[unit_price]]*(1-J29/100)</f>
        <v>599</v>
      </c>
      <c r="M29" s="6" t="str">
        <f>TEXT(Table1[[#This Row],[order_date]],"mmm")</f>
        <v>Mar</v>
      </c>
    </row>
    <row r="30" spans="1:13" x14ac:dyDescent="0.25">
      <c r="A30" s="4">
        <v>1029</v>
      </c>
      <c r="B30" s="5">
        <v>45369</v>
      </c>
      <c r="C30" s="6" t="s">
        <v>60</v>
      </c>
      <c r="D30" s="6" t="s">
        <v>61</v>
      </c>
      <c r="E30" s="6" t="s">
        <v>57</v>
      </c>
      <c r="F30" s="6" t="s">
        <v>58</v>
      </c>
      <c r="G30" s="6" t="s">
        <v>59</v>
      </c>
      <c r="H30" s="6">
        <v>3</v>
      </c>
      <c r="I30" s="6">
        <v>199</v>
      </c>
      <c r="J30" s="6">
        <v>0</v>
      </c>
      <c r="K30" s="7" t="s">
        <v>24</v>
      </c>
      <c r="L30" s="6">
        <f>Table1[[#This Row],[quantity]]*Table1[[#This Row],[unit_price]]*(1-J30/100)</f>
        <v>597</v>
      </c>
      <c r="M30" s="6" t="str">
        <f>TEXT(Table1[[#This Row],[order_date]],"mmm")</f>
        <v>Mar</v>
      </c>
    </row>
    <row r="31" spans="1:13" x14ac:dyDescent="0.25">
      <c r="A31" s="4">
        <v>1030</v>
      </c>
      <c r="B31" s="5">
        <v>45371</v>
      </c>
      <c r="C31" s="6" t="s">
        <v>73</v>
      </c>
      <c r="D31" s="6" t="s">
        <v>74</v>
      </c>
      <c r="E31" s="6" t="s">
        <v>21</v>
      </c>
      <c r="F31" s="6" t="s">
        <v>22</v>
      </c>
      <c r="G31" s="6" t="s">
        <v>23</v>
      </c>
      <c r="H31" s="6">
        <v>1</v>
      </c>
      <c r="I31" s="6">
        <v>1299</v>
      </c>
      <c r="J31" s="6">
        <v>5</v>
      </c>
      <c r="K31" s="7" t="s">
        <v>75</v>
      </c>
      <c r="L31" s="6">
        <f>Table1[[#This Row],[quantity]]*Table1[[#This Row],[unit_price]]*(1-J31/100)</f>
        <v>1234.05</v>
      </c>
      <c r="M31" s="6" t="str">
        <f>TEXT(Table1[[#This Row],[order_date]],"mmm")</f>
        <v>Mar</v>
      </c>
    </row>
    <row r="32" spans="1:13" x14ac:dyDescent="0.25">
      <c r="A32" s="4">
        <v>1031</v>
      </c>
      <c r="B32" s="5">
        <v>45373</v>
      </c>
      <c r="C32" s="6" t="s">
        <v>13</v>
      </c>
      <c r="D32" s="6" t="s">
        <v>14</v>
      </c>
      <c r="E32" s="6" t="s">
        <v>47</v>
      </c>
      <c r="F32" s="6" t="s">
        <v>48</v>
      </c>
      <c r="G32" s="6" t="s">
        <v>49</v>
      </c>
      <c r="H32" s="6">
        <v>1</v>
      </c>
      <c r="I32" s="6">
        <v>799</v>
      </c>
      <c r="J32" s="6">
        <v>10</v>
      </c>
      <c r="K32" s="7" t="s">
        <v>18</v>
      </c>
      <c r="L32" s="6">
        <f>Table1[[#This Row],[quantity]]*Table1[[#This Row],[unit_price]]*(1-J32/100)</f>
        <v>719.1</v>
      </c>
      <c r="M32" s="6" t="str">
        <f>TEXT(Table1[[#This Row],[order_date]],"mmm")</f>
        <v>Mar</v>
      </c>
    </row>
    <row r="33" spans="1:13" x14ac:dyDescent="0.25">
      <c r="A33" s="4">
        <v>1032</v>
      </c>
      <c r="B33" s="5">
        <v>45376</v>
      </c>
      <c r="C33" s="6" t="s">
        <v>62</v>
      </c>
      <c r="D33" s="6" t="s">
        <v>63</v>
      </c>
      <c r="E33" s="6" t="s">
        <v>31</v>
      </c>
      <c r="F33" s="6" t="s">
        <v>32</v>
      </c>
      <c r="G33" s="6" t="s">
        <v>33</v>
      </c>
      <c r="H33" s="6">
        <v>2</v>
      </c>
      <c r="I33" s="6">
        <v>1899</v>
      </c>
      <c r="J33" s="6">
        <v>0</v>
      </c>
      <c r="K33" s="7" t="s">
        <v>30</v>
      </c>
      <c r="L33" s="6">
        <f>Table1[[#This Row],[quantity]]*Table1[[#This Row],[unit_price]]*(1-J33/100)</f>
        <v>3798</v>
      </c>
      <c r="M33" s="6" t="str">
        <f>TEXT(Table1[[#This Row],[order_date]],"mmm")</f>
        <v>Mar</v>
      </c>
    </row>
    <row r="34" spans="1:13" x14ac:dyDescent="0.25">
      <c r="A34" s="4">
        <v>1033</v>
      </c>
      <c r="B34" s="5">
        <v>45379</v>
      </c>
      <c r="C34" s="6" t="s">
        <v>76</v>
      </c>
      <c r="D34" s="6" t="s">
        <v>77</v>
      </c>
      <c r="E34" s="6" t="s">
        <v>27</v>
      </c>
      <c r="F34" s="6" t="s">
        <v>28</v>
      </c>
      <c r="G34" s="6" t="s">
        <v>29</v>
      </c>
      <c r="H34" s="6">
        <v>2</v>
      </c>
      <c r="I34" s="6">
        <v>349</v>
      </c>
      <c r="J34" s="6">
        <v>0</v>
      </c>
      <c r="K34" s="7" t="s">
        <v>38</v>
      </c>
      <c r="L34" s="6">
        <f>Table1[[#This Row],[quantity]]*Table1[[#This Row],[unit_price]]*(1-J34/100)</f>
        <v>698</v>
      </c>
      <c r="M34" s="6" t="str">
        <f>TEXT(Table1[[#This Row],[order_date]],"mmm")</f>
        <v>Mar</v>
      </c>
    </row>
    <row r="35" spans="1:13" x14ac:dyDescent="0.25">
      <c r="A35" s="4">
        <v>1034</v>
      </c>
      <c r="B35" s="5">
        <v>45383</v>
      </c>
      <c r="C35" s="6" t="s">
        <v>64</v>
      </c>
      <c r="D35" s="6" t="s">
        <v>65</v>
      </c>
      <c r="E35" s="6" t="s">
        <v>15</v>
      </c>
      <c r="F35" s="6" t="s">
        <v>16</v>
      </c>
      <c r="G35" s="6" t="s">
        <v>17</v>
      </c>
      <c r="H35" s="6">
        <v>1</v>
      </c>
      <c r="I35" s="6">
        <v>499</v>
      </c>
      <c r="J35" s="6">
        <v>0</v>
      </c>
      <c r="K35" s="7" t="s">
        <v>44</v>
      </c>
      <c r="L35" s="6">
        <f>Table1[[#This Row],[quantity]]*Table1[[#This Row],[unit_price]]*(1-J35/100)</f>
        <v>499</v>
      </c>
      <c r="M35" s="6" t="str">
        <f>TEXT(Table1[[#This Row],[order_date]],"mmm")</f>
        <v>Apr</v>
      </c>
    </row>
    <row r="36" spans="1:13" x14ac:dyDescent="0.25">
      <c r="A36" s="4">
        <v>1035</v>
      </c>
      <c r="B36" s="5">
        <v>45385</v>
      </c>
      <c r="C36" s="6" t="s">
        <v>78</v>
      </c>
      <c r="D36" s="6" t="s">
        <v>79</v>
      </c>
      <c r="E36" s="6" t="s">
        <v>21</v>
      </c>
      <c r="F36" s="6" t="s">
        <v>22</v>
      </c>
      <c r="G36" s="6" t="s">
        <v>23</v>
      </c>
      <c r="H36" s="6">
        <v>3</v>
      </c>
      <c r="I36" s="6">
        <v>1299</v>
      </c>
      <c r="J36" s="6">
        <v>10</v>
      </c>
      <c r="K36" s="7" t="s">
        <v>80</v>
      </c>
      <c r="L36" s="6">
        <f>Table1[[#This Row],[quantity]]*Table1[[#This Row],[unit_price]]*(1-J36/100)</f>
        <v>3507.3</v>
      </c>
      <c r="M36" s="6" t="str">
        <f>TEXT(Table1[[#This Row],[order_date]],"mmm")</f>
        <v>Apr</v>
      </c>
    </row>
    <row r="37" spans="1:13" x14ac:dyDescent="0.25">
      <c r="A37" s="4">
        <v>1036</v>
      </c>
      <c r="B37" s="5">
        <v>45388</v>
      </c>
      <c r="C37" s="6" t="s">
        <v>66</v>
      </c>
      <c r="D37" s="6" t="s">
        <v>67</v>
      </c>
      <c r="E37" s="6" t="s">
        <v>57</v>
      </c>
      <c r="F37" s="6" t="s">
        <v>58</v>
      </c>
      <c r="G37" s="6" t="s">
        <v>59</v>
      </c>
      <c r="H37" s="6">
        <v>5</v>
      </c>
      <c r="I37" s="6">
        <v>199</v>
      </c>
      <c r="J37" s="6">
        <v>5</v>
      </c>
      <c r="K37" s="7" t="s">
        <v>18</v>
      </c>
      <c r="L37" s="6">
        <f>Table1[[#This Row],[quantity]]*Table1[[#This Row],[unit_price]]*(1-J37/100)</f>
        <v>945.25</v>
      </c>
      <c r="M37" s="6" t="str">
        <f>TEXT(Table1[[#This Row],[order_date]],"mmm")</f>
        <v>Apr</v>
      </c>
    </row>
    <row r="38" spans="1:13" x14ac:dyDescent="0.25">
      <c r="A38" s="4">
        <v>1037</v>
      </c>
      <c r="B38" s="5">
        <v>45391</v>
      </c>
      <c r="C38" s="6" t="s">
        <v>25</v>
      </c>
      <c r="D38" s="6" t="s">
        <v>26</v>
      </c>
      <c r="E38" s="6" t="s">
        <v>41</v>
      </c>
      <c r="F38" s="6" t="s">
        <v>42</v>
      </c>
      <c r="G38" s="6" t="s">
        <v>43</v>
      </c>
      <c r="H38" s="6">
        <v>2</v>
      </c>
      <c r="I38" s="6">
        <v>599</v>
      </c>
      <c r="J38" s="6">
        <v>0</v>
      </c>
      <c r="K38" s="7" t="s">
        <v>30</v>
      </c>
      <c r="L38" s="6">
        <f>Table1[[#This Row],[quantity]]*Table1[[#This Row],[unit_price]]*(1-J38/100)</f>
        <v>1198</v>
      </c>
      <c r="M38" s="6" t="str">
        <f>TEXT(Table1[[#This Row],[order_date]],"mmm")</f>
        <v>Apr</v>
      </c>
    </row>
    <row r="39" spans="1:13" x14ac:dyDescent="0.25">
      <c r="A39" s="4">
        <v>1038</v>
      </c>
      <c r="B39" s="5">
        <v>45393</v>
      </c>
      <c r="C39" s="6" t="s">
        <v>81</v>
      </c>
      <c r="D39" s="6" t="s">
        <v>82</v>
      </c>
      <c r="E39" s="6" t="s">
        <v>31</v>
      </c>
      <c r="F39" s="6" t="s">
        <v>32</v>
      </c>
      <c r="G39" s="6" t="s">
        <v>33</v>
      </c>
      <c r="H39" s="6">
        <v>1</v>
      </c>
      <c r="I39" s="6">
        <v>1899</v>
      </c>
      <c r="J39" s="6">
        <v>10</v>
      </c>
      <c r="K39" s="7" t="s">
        <v>83</v>
      </c>
      <c r="L39" s="6">
        <f>Table1[[#This Row],[quantity]]*Table1[[#This Row],[unit_price]]*(1-J39/100)</f>
        <v>1709.1000000000001</v>
      </c>
      <c r="M39" s="6" t="str">
        <f>TEXT(Table1[[#This Row],[order_date]],"mmm")</f>
        <v>Apr</v>
      </c>
    </row>
    <row r="40" spans="1:13" x14ac:dyDescent="0.25">
      <c r="A40" s="4">
        <v>1039</v>
      </c>
      <c r="B40" s="5">
        <v>45396</v>
      </c>
      <c r="C40" s="6" t="s">
        <v>68</v>
      </c>
      <c r="D40" s="6" t="s">
        <v>69</v>
      </c>
      <c r="E40" s="6" t="s">
        <v>47</v>
      </c>
      <c r="F40" s="6" t="s">
        <v>48</v>
      </c>
      <c r="G40" s="6" t="s">
        <v>49</v>
      </c>
      <c r="H40" s="6">
        <v>1</v>
      </c>
      <c r="I40" s="6">
        <v>799</v>
      </c>
      <c r="J40" s="6">
        <v>0</v>
      </c>
      <c r="K40" s="7" t="s">
        <v>70</v>
      </c>
      <c r="L40" s="6">
        <f>Table1[[#This Row],[quantity]]*Table1[[#This Row],[unit_price]]*(1-J40/100)</f>
        <v>799</v>
      </c>
      <c r="M40" s="6" t="str">
        <f>TEXT(Table1[[#This Row],[order_date]],"mmm")</f>
        <v>Apr</v>
      </c>
    </row>
    <row r="41" spans="1:13" x14ac:dyDescent="0.25">
      <c r="A41" s="4">
        <v>1040</v>
      </c>
      <c r="B41" s="5">
        <v>45398</v>
      </c>
      <c r="C41" s="6" t="s">
        <v>71</v>
      </c>
      <c r="D41" s="6" t="s">
        <v>72</v>
      </c>
      <c r="E41" s="6" t="s">
        <v>15</v>
      </c>
      <c r="F41" s="6" t="s">
        <v>16</v>
      </c>
      <c r="G41" s="6" t="s">
        <v>17</v>
      </c>
      <c r="H41" s="6">
        <v>3</v>
      </c>
      <c r="I41" s="6">
        <v>499</v>
      </c>
      <c r="J41" s="6">
        <v>15</v>
      </c>
      <c r="K41" s="7" t="s">
        <v>30</v>
      </c>
      <c r="L41" s="6">
        <f>Table1[[#This Row],[quantity]]*Table1[[#This Row],[unit_price]]*(1-J41/100)</f>
        <v>1272.45</v>
      </c>
      <c r="M41" s="6" t="str">
        <f>TEXT(Table1[[#This Row],[order_date]],"mmm")</f>
        <v>Apr</v>
      </c>
    </row>
    <row r="42" spans="1:13" x14ac:dyDescent="0.25">
      <c r="A42" s="4">
        <v>1041</v>
      </c>
      <c r="B42" s="5">
        <v>45401</v>
      </c>
      <c r="C42" s="6" t="s">
        <v>34</v>
      </c>
      <c r="D42" s="6" t="s">
        <v>35</v>
      </c>
      <c r="E42" s="6" t="s">
        <v>21</v>
      </c>
      <c r="F42" s="6" t="s">
        <v>22</v>
      </c>
      <c r="G42" s="6" t="s">
        <v>23</v>
      </c>
      <c r="H42" s="6">
        <v>1</v>
      </c>
      <c r="I42" s="6">
        <v>1299</v>
      </c>
      <c r="J42" s="6">
        <v>0</v>
      </c>
      <c r="K42" s="7" t="s">
        <v>24</v>
      </c>
      <c r="L42" s="6">
        <f>Table1[[#This Row],[quantity]]*Table1[[#This Row],[unit_price]]*(1-J42/100)</f>
        <v>1299</v>
      </c>
      <c r="M42" s="6" t="str">
        <f>TEXT(Table1[[#This Row],[order_date]],"mmm")</f>
        <v>Apr</v>
      </c>
    </row>
    <row r="43" spans="1:13" x14ac:dyDescent="0.25">
      <c r="A43" s="4">
        <v>1042</v>
      </c>
      <c r="B43" s="5">
        <v>45404</v>
      </c>
      <c r="C43" s="6" t="s">
        <v>73</v>
      </c>
      <c r="D43" s="6" t="s">
        <v>74</v>
      </c>
      <c r="E43" s="6" t="s">
        <v>27</v>
      </c>
      <c r="F43" s="6" t="s">
        <v>28</v>
      </c>
      <c r="G43" s="6" t="s">
        <v>29</v>
      </c>
      <c r="H43" s="6">
        <v>2</v>
      </c>
      <c r="I43" s="6">
        <v>349</v>
      </c>
      <c r="J43" s="6">
        <v>0</v>
      </c>
      <c r="K43" s="7" t="s">
        <v>75</v>
      </c>
      <c r="L43" s="6">
        <f>Table1[[#This Row],[quantity]]*Table1[[#This Row],[unit_price]]*(1-J43/100)</f>
        <v>698</v>
      </c>
      <c r="M43" s="6" t="str">
        <f>TEXT(Table1[[#This Row],[order_date]],"mmm")</f>
        <v>Apr</v>
      </c>
    </row>
    <row r="44" spans="1:13" x14ac:dyDescent="0.25">
      <c r="A44" s="4">
        <v>1043</v>
      </c>
      <c r="B44" s="5">
        <v>45406</v>
      </c>
      <c r="C44" s="6" t="s">
        <v>39</v>
      </c>
      <c r="D44" s="6" t="s">
        <v>40</v>
      </c>
      <c r="E44" s="6" t="s">
        <v>41</v>
      </c>
      <c r="F44" s="6" t="s">
        <v>42</v>
      </c>
      <c r="G44" s="6" t="s">
        <v>43</v>
      </c>
      <c r="H44" s="6">
        <v>1</v>
      </c>
      <c r="I44" s="6">
        <v>599</v>
      </c>
      <c r="J44" s="6">
        <v>5</v>
      </c>
      <c r="K44" s="7" t="s">
        <v>38</v>
      </c>
      <c r="L44" s="6">
        <f>Table1[[#This Row],[quantity]]*Table1[[#This Row],[unit_price]]*(1-J44/100)</f>
        <v>569.04999999999995</v>
      </c>
      <c r="M44" s="6" t="str">
        <f>TEXT(Table1[[#This Row],[order_date]],"mmm")</f>
        <v>Apr</v>
      </c>
    </row>
    <row r="45" spans="1:13" x14ac:dyDescent="0.25">
      <c r="A45" s="4">
        <v>1044</v>
      </c>
      <c r="B45" s="5">
        <v>45409</v>
      </c>
      <c r="C45" s="6" t="s">
        <v>76</v>
      </c>
      <c r="D45" s="6" t="s">
        <v>77</v>
      </c>
      <c r="E45" s="6" t="s">
        <v>15</v>
      </c>
      <c r="F45" s="6" t="s">
        <v>16</v>
      </c>
      <c r="G45" s="6" t="s">
        <v>17</v>
      </c>
      <c r="H45" s="6">
        <v>2</v>
      </c>
      <c r="I45" s="6">
        <v>499</v>
      </c>
      <c r="J45" s="6">
        <v>0</v>
      </c>
      <c r="K45" s="7" t="s">
        <v>38</v>
      </c>
      <c r="L45" s="6">
        <f>Table1[[#This Row],[quantity]]*Table1[[#This Row],[unit_price]]*(1-J45/100)</f>
        <v>998</v>
      </c>
      <c r="M45" s="6" t="str">
        <f>TEXT(Table1[[#This Row],[order_date]],"mmm")</f>
        <v>Apr</v>
      </c>
    </row>
    <row r="46" spans="1:13" x14ac:dyDescent="0.25">
      <c r="A46" s="4">
        <v>1045</v>
      </c>
      <c r="B46" s="5">
        <v>45411</v>
      </c>
      <c r="C46" s="6" t="s">
        <v>50</v>
      </c>
      <c r="D46" s="6" t="s">
        <v>51</v>
      </c>
      <c r="E46" s="6" t="s">
        <v>57</v>
      </c>
      <c r="F46" s="6" t="s">
        <v>58</v>
      </c>
      <c r="G46" s="6" t="s">
        <v>59</v>
      </c>
      <c r="H46" s="6">
        <v>3</v>
      </c>
      <c r="I46" s="6">
        <v>199</v>
      </c>
      <c r="J46" s="6">
        <v>10</v>
      </c>
      <c r="K46" s="7" t="s">
        <v>52</v>
      </c>
      <c r="L46" s="6">
        <f>Table1[[#This Row],[quantity]]*Table1[[#This Row],[unit_price]]*(1-J46/100)</f>
        <v>537.30000000000007</v>
      </c>
      <c r="M46" s="6" t="str">
        <f>TEXT(Table1[[#This Row],[order_date]],"mmm")</f>
        <v>Apr</v>
      </c>
    </row>
    <row r="47" spans="1:13" x14ac:dyDescent="0.25">
      <c r="A47" s="4">
        <v>1046</v>
      </c>
      <c r="B47" s="5">
        <v>45414</v>
      </c>
      <c r="C47" s="6" t="s">
        <v>78</v>
      </c>
      <c r="D47" s="6" t="s">
        <v>79</v>
      </c>
      <c r="E47" s="6" t="s">
        <v>31</v>
      </c>
      <c r="F47" s="6" t="s">
        <v>32</v>
      </c>
      <c r="G47" s="6" t="s">
        <v>33</v>
      </c>
      <c r="H47" s="6">
        <v>1</v>
      </c>
      <c r="I47" s="6">
        <v>1899</v>
      </c>
      <c r="J47" s="6">
        <v>5</v>
      </c>
      <c r="K47" s="7" t="s">
        <v>80</v>
      </c>
      <c r="L47" s="6">
        <f>Table1[[#This Row],[quantity]]*Table1[[#This Row],[unit_price]]*(1-J47/100)</f>
        <v>1804.05</v>
      </c>
      <c r="M47" s="6" t="str">
        <f>TEXT(Table1[[#This Row],[order_date]],"mmm")</f>
        <v>May</v>
      </c>
    </row>
    <row r="48" spans="1:13" x14ac:dyDescent="0.25">
      <c r="A48" s="4">
        <v>1047</v>
      </c>
      <c r="B48" s="5">
        <v>45417</v>
      </c>
      <c r="C48" s="6" t="s">
        <v>53</v>
      </c>
      <c r="D48" s="6" t="s">
        <v>54</v>
      </c>
      <c r="E48" s="6" t="s">
        <v>47</v>
      </c>
      <c r="F48" s="6" t="s">
        <v>48</v>
      </c>
      <c r="G48" s="6" t="s">
        <v>49</v>
      </c>
      <c r="H48" s="6">
        <v>2</v>
      </c>
      <c r="I48" s="6">
        <v>799</v>
      </c>
      <c r="J48" s="6">
        <v>0</v>
      </c>
      <c r="K48" s="7" t="s">
        <v>18</v>
      </c>
      <c r="L48" s="6">
        <f>Table1[[#This Row],[quantity]]*Table1[[#This Row],[unit_price]]*(1-J48/100)</f>
        <v>1598</v>
      </c>
      <c r="M48" s="6" t="str">
        <f>TEXT(Table1[[#This Row],[order_date]],"mmm")</f>
        <v>May</v>
      </c>
    </row>
    <row r="49" spans="1:13" x14ac:dyDescent="0.25">
      <c r="A49" s="4">
        <v>1048</v>
      </c>
      <c r="B49" s="5">
        <v>45419</v>
      </c>
      <c r="C49" s="6" t="s">
        <v>81</v>
      </c>
      <c r="D49" s="6" t="s">
        <v>82</v>
      </c>
      <c r="E49" s="6" t="s">
        <v>21</v>
      </c>
      <c r="F49" s="6" t="s">
        <v>22</v>
      </c>
      <c r="G49" s="6" t="s">
        <v>23</v>
      </c>
      <c r="H49" s="6">
        <v>1</v>
      </c>
      <c r="I49" s="6">
        <v>1299</v>
      </c>
      <c r="J49" s="6">
        <v>10</v>
      </c>
      <c r="K49" s="7" t="s">
        <v>83</v>
      </c>
      <c r="L49" s="6">
        <f>Table1[[#This Row],[quantity]]*Table1[[#This Row],[unit_price]]*(1-J49/100)</f>
        <v>1169.1000000000001</v>
      </c>
      <c r="M49" s="6" t="str">
        <f>TEXT(Table1[[#This Row],[order_date]],"mmm")</f>
        <v>May</v>
      </c>
    </row>
    <row r="50" spans="1:13" x14ac:dyDescent="0.25">
      <c r="A50" s="4">
        <v>1049</v>
      </c>
      <c r="B50" s="5">
        <v>45422</v>
      </c>
      <c r="C50" s="6" t="s">
        <v>13</v>
      </c>
      <c r="D50" s="6" t="s">
        <v>14</v>
      </c>
      <c r="E50" s="6" t="s">
        <v>15</v>
      </c>
      <c r="F50" s="6" t="s">
        <v>16</v>
      </c>
      <c r="G50" s="6" t="s">
        <v>17</v>
      </c>
      <c r="H50" s="6">
        <v>2</v>
      </c>
      <c r="I50" s="6">
        <v>499</v>
      </c>
      <c r="J50" s="6">
        <v>0</v>
      </c>
      <c r="K50" s="7" t="s">
        <v>18</v>
      </c>
      <c r="L50" s="6">
        <f>Table1[[#This Row],[quantity]]*Table1[[#This Row],[unit_price]]*(1-J50/100)</f>
        <v>998</v>
      </c>
      <c r="M50" s="6" t="str">
        <f>TEXT(Table1[[#This Row],[order_date]],"mmm")</f>
        <v>May</v>
      </c>
    </row>
    <row r="51" spans="1:13" x14ac:dyDescent="0.25">
      <c r="A51" s="4">
        <v>1050</v>
      </c>
      <c r="B51" s="5">
        <v>45424</v>
      </c>
      <c r="C51" s="6" t="s">
        <v>55</v>
      </c>
      <c r="D51" s="6" t="s">
        <v>56</v>
      </c>
      <c r="E51" s="6" t="s">
        <v>41</v>
      </c>
      <c r="F51" s="6" t="s">
        <v>42</v>
      </c>
      <c r="G51" s="6" t="s">
        <v>43</v>
      </c>
      <c r="H51" s="6">
        <v>2</v>
      </c>
      <c r="I51" s="6">
        <v>599</v>
      </c>
      <c r="J51" s="6">
        <v>5</v>
      </c>
      <c r="K51" s="7" t="s">
        <v>24</v>
      </c>
      <c r="L51" s="6">
        <f>Table1[[#This Row],[quantity]]*Table1[[#This Row],[unit_price]]*(1-J51/100)</f>
        <v>1138.0999999999999</v>
      </c>
      <c r="M51" s="6" t="str">
        <f>TEXT(Table1[[#This Row],[order_date]],"mmm")</f>
        <v>May</v>
      </c>
    </row>
    <row r="52" spans="1:13" x14ac:dyDescent="0.25">
      <c r="A52" s="4">
        <v>1051</v>
      </c>
      <c r="B52" s="5">
        <v>45427</v>
      </c>
      <c r="C52" s="6" t="s">
        <v>60</v>
      </c>
      <c r="D52" s="6" t="s">
        <v>61</v>
      </c>
      <c r="E52" s="6" t="s">
        <v>31</v>
      </c>
      <c r="F52" s="6" t="s">
        <v>32</v>
      </c>
      <c r="G52" s="6" t="s">
        <v>33</v>
      </c>
      <c r="H52" s="6">
        <v>1</v>
      </c>
      <c r="I52" s="6">
        <v>1899</v>
      </c>
      <c r="J52" s="6">
        <v>0</v>
      </c>
      <c r="K52" s="7" t="s">
        <v>24</v>
      </c>
      <c r="L52" s="6">
        <f>Table1[[#This Row],[quantity]]*Table1[[#This Row],[unit_price]]*(1-J52/100)</f>
        <v>1899</v>
      </c>
      <c r="M52" s="6" t="str">
        <f>TEXT(Table1[[#This Row],[order_date]],"mmm")</f>
        <v>May</v>
      </c>
    </row>
    <row r="53" spans="1:13" x14ac:dyDescent="0.25">
      <c r="A53" s="4">
        <v>1052</v>
      </c>
      <c r="B53" s="5">
        <v>45429</v>
      </c>
      <c r="C53" s="6" t="s">
        <v>62</v>
      </c>
      <c r="D53" s="6" t="s">
        <v>63</v>
      </c>
      <c r="E53" s="6" t="s">
        <v>27</v>
      </c>
      <c r="F53" s="6" t="s">
        <v>28</v>
      </c>
      <c r="G53" s="6" t="s">
        <v>29</v>
      </c>
      <c r="H53" s="6">
        <v>3</v>
      </c>
      <c r="I53" s="6">
        <v>349</v>
      </c>
      <c r="J53" s="6">
        <v>0</v>
      </c>
      <c r="K53" s="7" t="s">
        <v>30</v>
      </c>
      <c r="L53" s="6">
        <f>Table1[[#This Row],[quantity]]*Table1[[#This Row],[unit_price]]*(1-J53/100)</f>
        <v>1047</v>
      </c>
      <c r="M53" s="6" t="str">
        <f>TEXT(Table1[[#This Row],[order_date]],"mmm")</f>
        <v>May</v>
      </c>
    </row>
    <row r="54" spans="1:13" x14ac:dyDescent="0.25">
      <c r="A54" s="4">
        <v>1053</v>
      </c>
      <c r="B54" s="5">
        <v>45432</v>
      </c>
      <c r="C54" s="6" t="s">
        <v>64</v>
      </c>
      <c r="D54" s="6" t="s">
        <v>65</v>
      </c>
      <c r="E54" s="6" t="s">
        <v>21</v>
      </c>
      <c r="F54" s="6" t="s">
        <v>22</v>
      </c>
      <c r="G54" s="6" t="s">
        <v>23</v>
      </c>
      <c r="H54" s="6">
        <v>2</v>
      </c>
      <c r="I54" s="6">
        <v>1299</v>
      </c>
      <c r="J54" s="6">
        <v>15</v>
      </c>
      <c r="K54" s="7" t="s">
        <v>44</v>
      </c>
      <c r="L54" s="6">
        <f>Table1[[#This Row],[quantity]]*Table1[[#This Row],[unit_price]]*(1-J54/100)</f>
        <v>2208.2999999999997</v>
      </c>
      <c r="M54" s="6" t="str">
        <f>TEXT(Table1[[#This Row],[order_date]],"mmm")</f>
        <v>May</v>
      </c>
    </row>
    <row r="55" spans="1:13" x14ac:dyDescent="0.25">
      <c r="A55" s="4">
        <v>1054</v>
      </c>
      <c r="B55" s="5">
        <v>45434</v>
      </c>
      <c r="C55" s="6" t="s">
        <v>19</v>
      </c>
      <c r="D55" s="6" t="s">
        <v>20</v>
      </c>
      <c r="E55" s="6" t="s">
        <v>57</v>
      </c>
      <c r="F55" s="6" t="s">
        <v>58</v>
      </c>
      <c r="G55" s="6" t="s">
        <v>59</v>
      </c>
      <c r="H55" s="6">
        <v>4</v>
      </c>
      <c r="I55" s="6">
        <v>199</v>
      </c>
      <c r="J55" s="6">
        <v>0</v>
      </c>
      <c r="K55" s="7" t="s">
        <v>24</v>
      </c>
      <c r="L55" s="6">
        <f>Table1[[#This Row],[quantity]]*Table1[[#This Row],[unit_price]]*(1-J55/100)</f>
        <v>796</v>
      </c>
      <c r="M55" s="6" t="str">
        <f>TEXT(Table1[[#This Row],[order_date]],"mmm")</f>
        <v>May</v>
      </c>
    </row>
    <row r="56" spans="1:13" x14ac:dyDescent="0.25">
      <c r="A56" s="4">
        <v>1055</v>
      </c>
      <c r="B56" s="5">
        <v>45437</v>
      </c>
      <c r="C56" s="6" t="s">
        <v>66</v>
      </c>
      <c r="D56" s="6" t="s">
        <v>67</v>
      </c>
      <c r="E56" s="6" t="s">
        <v>15</v>
      </c>
      <c r="F56" s="6" t="s">
        <v>16</v>
      </c>
      <c r="G56" s="6" t="s">
        <v>17</v>
      </c>
      <c r="H56" s="6">
        <v>1</v>
      </c>
      <c r="I56" s="6">
        <v>499</v>
      </c>
      <c r="J56" s="6">
        <v>10</v>
      </c>
      <c r="K56" s="7" t="s">
        <v>18</v>
      </c>
      <c r="L56" s="6">
        <f>Table1[[#This Row],[quantity]]*Table1[[#This Row],[unit_price]]*(1-J56/100)</f>
        <v>449.1</v>
      </c>
      <c r="M56" s="6" t="str">
        <f>TEXT(Table1[[#This Row],[order_date]],"mmm")</f>
        <v>May</v>
      </c>
    </row>
    <row r="57" spans="1:13" x14ac:dyDescent="0.25">
      <c r="A57" s="4">
        <v>1056</v>
      </c>
      <c r="B57" s="5">
        <v>45439</v>
      </c>
      <c r="C57" s="6" t="s">
        <v>68</v>
      </c>
      <c r="D57" s="6" t="s">
        <v>69</v>
      </c>
      <c r="E57" s="6" t="s">
        <v>47</v>
      </c>
      <c r="F57" s="6" t="s">
        <v>48</v>
      </c>
      <c r="G57" s="6" t="s">
        <v>49</v>
      </c>
      <c r="H57" s="6">
        <v>1</v>
      </c>
      <c r="I57" s="6">
        <v>799</v>
      </c>
      <c r="J57" s="6">
        <v>5</v>
      </c>
      <c r="K57" s="7" t="s">
        <v>70</v>
      </c>
      <c r="L57" s="6">
        <f>Table1[[#This Row],[quantity]]*Table1[[#This Row],[unit_price]]*(1-J57/100)</f>
        <v>759.05</v>
      </c>
      <c r="M57" s="6" t="str">
        <f>TEXT(Table1[[#This Row],[order_date]],"mmm")</f>
        <v>May</v>
      </c>
    </row>
    <row r="58" spans="1:13" x14ac:dyDescent="0.25">
      <c r="A58" s="4">
        <v>1057</v>
      </c>
      <c r="B58" s="5">
        <v>45441</v>
      </c>
      <c r="C58" s="6" t="s">
        <v>71</v>
      </c>
      <c r="D58" s="6" t="s">
        <v>72</v>
      </c>
      <c r="E58" s="6" t="s">
        <v>41</v>
      </c>
      <c r="F58" s="6" t="s">
        <v>42</v>
      </c>
      <c r="G58" s="6" t="s">
        <v>43</v>
      </c>
      <c r="H58" s="6">
        <v>2</v>
      </c>
      <c r="I58" s="6">
        <v>599</v>
      </c>
      <c r="J58" s="6">
        <v>0</v>
      </c>
      <c r="K58" s="7" t="s">
        <v>30</v>
      </c>
      <c r="L58" s="6">
        <f>Table1[[#This Row],[quantity]]*Table1[[#This Row],[unit_price]]*(1-J58/100)</f>
        <v>1198</v>
      </c>
      <c r="M58" s="6" t="str">
        <f>TEXT(Table1[[#This Row],[order_date]],"mmm")</f>
        <v>May</v>
      </c>
    </row>
    <row r="59" spans="1:13" x14ac:dyDescent="0.25">
      <c r="A59" s="4">
        <v>1058</v>
      </c>
      <c r="B59" s="5">
        <v>45444</v>
      </c>
      <c r="C59" s="6" t="s">
        <v>73</v>
      </c>
      <c r="D59" s="6" t="s">
        <v>74</v>
      </c>
      <c r="E59" s="6" t="s">
        <v>31</v>
      </c>
      <c r="F59" s="6" t="s">
        <v>32</v>
      </c>
      <c r="G59" s="6" t="s">
        <v>33</v>
      </c>
      <c r="H59" s="6">
        <v>1</v>
      </c>
      <c r="I59" s="6">
        <v>1899</v>
      </c>
      <c r="J59" s="6">
        <v>10</v>
      </c>
      <c r="K59" s="7" t="s">
        <v>75</v>
      </c>
      <c r="L59" s="6">
        <f>Table1[[#This Row],[quantity]]*Table1[[#This Row],[unit_price]]*(1-J59/100)</f>
        <v>1709.1000000000001</v>
      </c>
      <c r="M59" s="6" t="str">
        <f>TEXT(Table1[[#This Row],[order_date]],"mmm")</f>
        <v>Jun</v>
      </c>
    </row>
    <row r="60" spans="1:13" x14ac:dyDescent="0.25">
      <c r="A60" s="4">
        <v>1059</v>
      </c>
      <c r="B60" s="5">
        <v>45447</v>
      </c>
      <c r="C60" s="6" t="s">
        <v>25</v>
      </c>
      <c r="D60" s="6" t="s">
        <v>26</v>
      </c>
      <c r="E60" s="6" t="s">
        <v>21</v>
      </c>
      <c r="F60" s="6" t="s">
        <v>22</v>
      </c>
      <c r="G60" s="6" t="s">
        <v>23</v>
      </c>
      <c r="H60" s="6">
        <v>1</v>
      </c>
      <c r="I60" s="6">
        <v>1299</v>
      </c>
      <c r="J60" s="6">
        <v>0</v>
      </c>
      <c r="K60" s="7" t="s">
        <v>30</v>
      </c>
      <c r="L60" s="6">
        <f>Table1[[#This Row],[quantity]]*Table1[[#This Row],[unit_price]]*(1-J60/100)</f>
        <v>1299</v>
      </c>
      <c r="M60" s="6" t="str">
        <f>TEXT(Table1[[#This Row],[order_date]],"mmm")</f>
        <v>Jun</v>
      </c>
    </row>
    <row r="61" spans="1:13" x14ac:dyDescent="0.25">
      <c r="A61" s="4">
        <v>1060</v>
      </c>
      <c r="B61" s="5">
        <v>45449</v>
      </c>
      <c r="C61" s="6" t="s">
        <v>76</v>
      </c>
      <c r="D61" s="6" t="s">
        <v>77</v>
      </c>
      <c r="E61" s="6" t="s">
        <v>47</v>
      </c>
      <c r="F61" s="6" t="s">
        <v>48</v>
      </c>
      <c r="G61" s="6" t="s">
        <v>49</v>
      </c>
      <c r="H61" s="6">
        <v>2</v>
      </c>
      <c r="I61" s="6">
        <v>799</v>
      </c>
      <c r="J61" s="6">
        <v>5</v>
      </c>
      <c r="K61" s="7" t="s">
        <v>38</v>
      </c>
      <c r="L61" s="6">
        <f>Table1[[#This Row],[quantity]]*Table1[[#This Row],[unit_price]]*(1-J61/100)</f>
        <v>1518.1</v>
      </c>
      <c r="M61" s="6" t="str">
        <f>TEXT(Table1[[#This Row],[order_date]],"mmm")</f>
        <v>Jun</v>
      </c>
    </row>
    <row r="62" spans="1:13" x14ac:dyDescent="0.25">
      <c r="A62" s="4">
        <v>1061</v>
      </c>
      <c r="B62" s="5">
        <v>45452</v>
      </c>
      <c r="C62" s="6" t="s">
        <v>78</v>
      </c>
      <c r="D62" s="6" t="s">
        <v>79</v>
      </c>
      <c r="E62" s="6" t="s">
        <v>15</v>
      </c>
      <c r="F62" s="6" t="s">
        <v>16</v>
      </c>
      <c r="G62" s="6" t="s">
        <v>17</v>
      </c>
      <c r="H62" s="6">
        <v>3</v>
      </c>
      <c r="I62" s="6">
        <v>499</v>
      </c>
      <c r="J62" s="6">
        <v>0</v>
      </c>
      <c r="K62" s="7" t="s">
        <v>80</v>
      </c>
      <c r="L62" s="6">
        <f>Table1[[#This Row],[quantity]]*Table1[[#This Row],[unit_price]]*(1-J62/100)</f>
        <v>1497</v>
      </c>
      <c r="M62" s="6" t="str">
        <f>TEXT(Table1[[#This Row],[order_date]],"mmm")</f>
        <v>Jun</v>
      </c>
    </row>
    <row r="63" spans="1:13" x14ac:dyDescent="0.25">
      <c r="A63" s="4">
        <v>1062</v>
      </c>
      <c r="B63" s="5">
        <v>45454</v>
      </c>
      <c r="C63" s="6" t="s">
        <v>81</v>
      </c>
      <c r="D63" s="6" t="s">
        <v>82</v>
      </c>
      <c r="E63" s="6" t="s">
        <v>27</v>
      </c>
      <c r="F63" s="6" t="s">
        <v>28</v>
      </c>
      <c r="G63" s="6" t="s">
        <v>29</v>
      </c>
      <c r="H63" s="6">
        <v>2</v>
      </c>
      <c r="I63" s="6">
        <v>349</v>
      </c>
      <c r="J63" s="6">
        <v>10</v>
      </c>
      <c r="K63" s="7" t="s">
        <v>83</v>
      </c>
      <c r="L63" s="6">
        <f>Table1[[#This Row],[quantity]]*Table1[[#This Row],[unit_price]]*(1-J63/100)</f>
        <v>628.20000000000005</v>
      </c>
      <c r="M63" s="6" t="str">
        <f>TEXT(Table1[[#This Row],[order_date]],"mmm")</f>
        <v>Jun</v>
      </c>
    </row>
    <row r="64" spans="1:13" x14ac:dyDescent="0.25">
      <c r="A64" s="4">
        <v>1063</v>
      </c>
      <c r="B64" s="5">
        <v>45457</v>
      </c>
      <c r="C64" s="6" t="s">
        <v>34</v>
      </c>
      <c r="D64" s="6" t="s">
        <v>35</v>
      </c>
      <c r="E64" s="6" t="s">
        <v>41</v>
      </c>
      <c r="F64" s="6" t="s">
        <v>42</v>
      </c>
      <c r="G64" s="6" t="s">
        <v>43</v>
      </c>
      <c r="H64" s="6">
        <v>1</v>
      </c>
      <c r="I64" s="6">
        <v>599</v>
      </c>
      <c r="J64" s="6">
        <v>0</v>
      </c>
      <c r="K64" s="7" t="s">
        <v>24</v>
      </c>
      <c r="L64" s="6">
        <f>Table1[[#This Row],[quantity]]*Table1[[#This Row],[unit_price]]*(1-J64/100)</f>
        <v>599</v>
      </c>
      <c r="M64" s="6" t="str">
        <f>TEXT(Table1[[#This Row],[order_date]],"mmm")</f>
        <v>Jun</v>
      </c>
    </row>
    <row r="65" spans="1:13" x14ac:dyDescent="0.25">
      <c r="A65" s="4">
        <v>1064</v>
      </c>
      <c r="B65" s="5">
        <v>45459</v>
      </c>
      <c r="C65" s="6" t="s">
        <v>36</v>
      </c>
      <c r="D65" s="6" t="s">
        <v>37</v>
      </c>
      <c r="E65" s="6" t="s">
        <v>57</v>
      </c>
      <c r="F65" s="6" t="s">
        <v>58</v>
      </c>
      <c r="G65" s="6" t="s">
        <v>59</v>
      </c>
      <c r="H65" s="6">
        <v>3</v>
      </c>
      <c r="I65" s="6">
        <v>199</v>
      </c>
      <c r="J65" s="6">
        <v>5</v>
      </c>
      <c r="K65" s="7" t="s">
        <v>38</v>
      </c>
      <c r="L65" s="6">
        <f>Table1[[#This Row],[quantity]]*Table1[[#This Row],[unit_price]]*(1-J65/100)</f>
        <v>567.15</v>
      </c>
      <c r="M65" s="6" t="str">
        <f>TEXT(Table1[[#This Row],[order_date]],"mmm")</f>
        <v>Jun</v>
      </c>
    </row>
    <row r="66" spans="1:13" x14ac:dyDescent="0.25">
      <c r="A66" s="4">
        <v>1065</v>
      </c>
      <c r="B66" s="5">
        <v>45462</v>
      </c>
      <c r="C66" s="6" t="s">
        <v>39</v>
      </c>
      <c r="D66" s="6" t="s">
        <v>40</v>
      </c>
      <c r="E66" s="6" t="s">
        <v>31</v>
      </c>
      <c r="F66" s="6" t="s">
        <v>32</v>
      </c>
      <c r="G66" s="6" t="s">
        <v>33</v>
      </c>
      <c r="H66" s="6">
        <v>1</v>
      </c>
      <c r="I66" s="6">
        <v>1899</v>
      </c>
      <c r="J66" s="6">
        <v>0</v>
      </c>
      <c r="K66" s="7" t="s">
        <v>38</v>
      </c>
      <c r="L66" s="6">
        <f>Table1[[#This Row],[quantity]]*Table1[[#This Row],[unit_price]]*(1-J66/100)</f>
        <v>1899</v>
      </c>
      <c r="M66" s="6" t="str">
        <f>TEXT(Table1[[#This Row],[order_date]],"mmm")</f>
        <v>Jun</v>
      </c>
    </row>
    <row r="67" spans="1:13" x14ac:dyDescent="0.25">
      <c r="A67" s="4">
        <v>1066</v>
      </c>
      <c r="B67" s="5">
        <v>45464</v>
      </c>
      <c r="C67" s="6" t="s">
        <v>45</v>
      </c>
      <c r="D67" s="6" t="s">
        <v>46</v>
      </c>
      <c r="E67" s="6" t="s">
        <v>21</v>
      </c>
      <c r="F67" s="6" t="s">
        <v>22</v>
      </c>
      <c r="G67" s="6" t="s">
        <v>23</v>
      </c>
      <c r="H67" s="6">
        <v>2</v>
      </c>
      <c r="I67" s="6">
        <v>1299</v>
      </c>
      <c r="J67" s="6">
        <v>10</v>
      </c>
      <c r="K67" s="7" t="s">
        <v>30</v>
      </c>
      <c r="L67" s="6">
        <f>Table1[[#This Row],[quantity]]*Table1[[#This Row],[unit_price]]*(1-J67/100)</f>
        <v>2338.2000000000003</v>
      </c>
      <c r="M67" s="6" t="str">
        <f>TEXT(Table1[[#This Row],[order_date]],"mmm")</f>
        <v>Jun</v>
      </c>
    </row>
    <row r="68" spans="1:13" x14ac:dyDescent="0.25">
      <c r="A68" s="4">
        <v>1067</v>
      </c>
      <c r="B68" s="5">
        <v>45467</v>
      </c>
      <c r="C68" s="6" t="s">
        <v>50</v>
      </c>
      <c r="D68" s="6" t="s">
        <v>51</v>
      </c>
      <c r="E68" s="6" t="s">
        <v>15</v>
      </c>
      <c r="F68" s="6" t="s">
        <v>16</v>
      </c>
      <c r="G68" s="6" t="s">
        <v>17</v>
      </c>
      <c r="H68" s="6">
        <v>2</v>
      </c>
      <c r="I68" s="6">
        <v>499</v>
      </c>
      <c r="J68" s="6">
        <v>5</v>
      </c>
      <c r="K68" s="7" t="s">
        <v>52</v>
      </c>
      <c r="L68" s="6">
        <f>Table1[[#This Row],[quantity]]*Table1[[#This Row],[unit_price]]*(1-J68/100)</f>
        <v>948.09999999999991</v>
      </c>
      <c r="M68" s="6" t="str">
        <f>TEXT(Table1[[#This Row],[order_date]],"mmm")</f>
        <v>Jun</v>
      </c>
    </row>
    <row r="69" spans="1:13" x14ac:dyDescent="0.25">
      <c r="A69" s="4">
        <v>1068</v>
      </c>
      <c r="B69" s="5">
        <v>45469</v>
      </c>
      <c r="C69" s="6" t="s">
        <v>53</v>
      </c>
      <c r="D69" s="6" t="s">
        <v>54</v>
      </c>
      <c r="E69" s="6" t="s">
        <v>47</v>
      </c>
      <c r="F69" s="6" t="s">
        <v>48</v>
      </c>
      <c r="G69" s="6" t="s">
        <v>49</v>
      </c>
      <c r="H69" s="6">
        <v>1</v>
      </c>
      <c r="I69" s="6">
        <v>799</v>
      </c>
      <c r="J69" s="6">
        <v>0</v>
      </c>
      <c r="K69" s="7" t="s">
        <v>18</v>
      </c>
      <c r="L69" s="6">
        <f>Table1[[#This Row],[quantity]]*Table1[[#This Row],[unit_price]]*(1-J69/100)</f>
        <v>799</v>
      </c>
      <c r="M69" s="6" t="str">
        <f>TEXT(Table1[[#This Row],[order_date]],"mmm")</f>
        <v>Jun</v>
      </c>
    </row>
    <row r="70" spans="1:13" x14ac:dyDescent="0.25">
      <c r="A70" s="4">
        <v>1069</v>
      </c>
      <c r="B70" s="5">
        <v>45471</v>
      </c>
      <c r="C70" s="6" t="s">
        <v>55</v>
      </c>
      <c r="D70" s="6" t="s">
        <v>56</v>
      </c>
      <c r="E70" s="6" t="s">
        <v>27</v>
      </c>
      <c r="F70" s="6" t="s">
        <v>28</v>
      </c>
      <c r="G70" s="6" t="s">
        <v>29</v>
      </c>
      <c r="H70" s="6">
        <v>3</v>
      </c>
      <c r="I70" s="6">
        <v>349</v>
      </c>
      <c r="J70" s="6">
        <v>0</v>
      </c>
      <c r="K70" s="7" t="s">
        <v>24</v>
      </c>
      <c r="L70" s="6">
        <f>Table1[[#This Row],[quantity]]*Table1[[#This Row],[unit_price]]*(1-J70/100)</f>
        <v>1047</v>
      </c>
      <c r="M70" s="6" t="str">
        <f>TEXT(Table1[[#This Row],[order_date]],"mmm")</f>
        <v>Jun</v>
      </c>
    </row>
    <row r="71" spans="1:13" x14ac:dyDescent="0.25">
      <c r="A71" s="8">
        <v>1070</v>
      </c>
      <c r="B71" s="9">
        <v>45473</v>
      </c>
      <c r="C71" s="10" t="s">
        <v>13</v>
      </c>
      <c r="D71" s="10" t="s">
        <v>14</v>
      </c>
      <c r="E71" s="10" t="s">
        <v>41</v>
      </c>
      <c r="F71" s="10" t="s">
        <v>42</v>
      </c>
      <c r="G71" s="10" t="s">
        <v>43</v>
      </c>
      <c r="H71" s="10">
        <v>2</v>
      </c>
      <c r="I71" s="10">
        <v>599</v>
      </c>
      <c r="J71" s="10">
        <v>15</v>
      </c>
      <c r="K71" s="11" t="s">
        <v>18</v>
      </c>
      <c r="L71" s="10">
        <f>Table1[[#This Row],[quantity]]*Table1[[#This Row],[unit_price]]*(1-J71/100)</f>
        <v>1018.3</v>
      </c>
      <c r="M71" s="10" t="str">
        <f>TEXT(Table1[[#This Row],[order_date]],"mmm")</f>
        <v>Jun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3"/>
  <sheetViews>
    <sheetView showGridLines="0" workbookViewId="0">
      <pane ySplit="7" topLeftCell="A8" activePane="bottomLeft" state="frozen"/>
      <selection pane="bottomLeft" sqref="A1:H1"/>
    </sheetView>
  </sheetViews>
  <sheetFormatPr defaultRowHeight="15" x14ac:dyDescent="0.25"/>
  <cols>
    <col min="1" max="1" width="5" customWidth="1"/>
    <col min="2" max="2" width="13" customWidth="1"/>
    <col min="3" max="3" width="22" customWidth="1"/>
    <col min="4" max="4" width="10" customWidth="1"/>
    <col min="5" max="6" width="18" customWidth="1"/>
    <col min="7" max="7" width="24" customWidth="1"/>
    <col min="8" max="8" width="14" customWidth="1"/>
  </cols>
  <sheetData>
    <row r="1" spans="1:10" ht="38.1" customHeight="1" x14ac:dyDescent="0.25">
      <c r="A1" s="38" t="s">
        <v>84</v>
      </c>
      <c r="B1" s="34"/>
      <c r="C1" s="34"/>
      <c r="D1" s="34"/>
      <c r="E1" s="34"/>
      <c r="F1" s="34"/>
      <c r="G1" s="34"/>
      <c r="H1" s="34"/>
    </row>
    <row r="2" spans="1:10" ht="20.100000000000001" customHeight="1" x14ac:dyDescent="0.25">
      <c r="A2" s="45" t="s">
        <v>85</v>
      </c>
      <c r="B2" s="34"/>
      <c r="C2" s="34"/>
      <c r="D2" s="34"/>
      <c r="E2" s="34"/>
      <c r="F2" s="34"/>
      <c r="G2" s="34"/>
      <c r="H2" s="34"/>
    </row>
    <row r="3" spans="1:10" ht="8.1" customHeight="1" x14ac:dyDescent="0.25"/>
    <row r="4" spans="1:10" ht="21.95" customHeight="1" x14ac:dyDescent="0.25">
      <c r="A4" s="39" t="s">
        <v>86</v>
      </c>
      <c r="B4" s="34"/>
      <c r="C4" s="39" t="s">
        <v>87</v>
      </c>
      <c r="D4" s="34"/>
      <c r="E4" s="39" t="s">
        <v>88</v>
      </c>
      <c r="F4" s="34"/>
      <c r="G4" s="39" t="s">
        <v>89</v>
      </c>
      <c r="H4" s="34"/>
      <c r="I4" s="39" t="s">
        <v>90</v>
      </c>
      <c r="J4" s="34"/>
    </row>
    <row r="5" spans="1:10" ht="32.1" customHeight="1" x14ac:dyDescent="0.25">
      <c r="A5" s="46" t="s">
        <v>91</v>
      </c>
      <c r="B5" s="34"/>
      <c r="C5" s="35" t="s">
        <v>92</v>
      </c>
      <c r="D5" s="34"/>
      <c r="E5" s="37" t="s">
        <v>93</v>
      </c>
      <c r="F5" s="34"/>
      <c r="G5" s="47" t="s">
        <v>94</v>
      </c>
      <c r="H5" s="34"/>
      <c r="I5" s="49" t="s">
        <v>95</v>
      </c>
      <c r="J5" s="34"/>
    </row>
    <row r="6" spans="1:10" ht="9.9499999999999993" customHeight="1" x14ac:dyDescent="0.25"/>
    <row r="7" spans="1:10" ht="27.95" customHeight="1" x14ac:dyDescent="0.25">
      <c r="A7" s="15" t="s">
        <v>96</v>
      </c>
      <c r="B7" s="15" t="s">
        <v>97</v>
      </c>
      <c r="C7" s="15" t="s">
        <v>98</v>
      </c>
      <c r="D7" s="15" t="s">
        <v>99</v>
      </c>
      <c r="E7" s="15" t="s">
        <v>100</v>
      </c>
      <c r="F7" s="15" t="s">
        <v>101</v>
      </c>
      <c r="G7" s="15" t="s">
        <v>102</v>
      </c>
      <c r="H7" s="15" t="s">
        <v>103</v>
      </c>
    </row>
    <row r="8" spans="1:10" ht="21.95" customHeight="1" x14ac:dyDescent="0.25">
      <c r="A8" s="16">
        <v>1</v>
      </c>
      <c r="B8" s="17" t="s">
        <v>13</v>
      </c>
      <c r="C8" s="18" t="s">
        <v>14</v>
      </c>
      <c r="D8" s="19">
        <v>6</v>
      </c>
      <c r="E8" s="17">
        <v>5817</v>
      </c>
      <c r="F8" s="17">
        <v>969</v>
      </c>
      <c r="G8" s="17" t="s">
        <v>104</v>
      </c>
      <c r="H8" s="19" t="s">
        <v>105</v>
      </c>
    </row>
    <row r="9" spans="1:10" ht="21.95" customHeight="1" x14ac:dyDescent="0.25">
      <c r="A9" s="20">
        <v>2</v>
      </c>
      <c r="B9" s="21" t="s">
        <v>25</v>
      </c>
      <c r="C9" s="22" t="s">
        <v>26</v>
      </c>
      <c r="D9" s="23">
        <v>4</v>
      </c>
      <c r="E9" s="21">
        <v>5443</v>
      </c>
      <c r="F9" s="21">
        <v>1361</v>
      </c>
      <c r="G9" s="21" t="s">
        <v>106</v>
      </c>
      <c r="H9" s="23" t="s">
        <v>107</v>
      </c>
    </row>
    <row r="10" spans="1:10" ht="21.95" customHeight="1" x14ac:dyDescent="0.25">
      <c r="A10" s="20">
        <v>3</v>
      </c>
      <c r="B10" s="21" t="s">
        <v>53</v>
      </c>
      <c r="C10" s="22" t="s">
        <v>54</v>
      </c>
      <c r="D10" s="23">
        <v>4</v>
      </c>
      <c r="E10" s="21">
        <v>5022</v>
      </c>
      <c r="F10" s="21">
        <v>1256</v>
      </c>
      <c r="G10" s="21" t="s">
        <v>108</v>
      </c>
      <c r="H10" s="23" t="s">
        <v>107</v>
      </c>
    </row>
    <row r="11" spans="1:10" ht="21.95" customHeight="1" x14ac:dyDescent="0.25">
      <c r="A11" s="20">
        <v>4</v>
      </c>
      <c r="B11" s="21" t="s">
        <v>39</v>
      </c>
      <c r="C11" s="22" t="s">
        <v>40</v>
      </c>
      <c r="D11" s="23">
        <v>4</v>
      </c>
      <c r="E11" s="21">
        <v>4905</v>
      </c>
      <c r="F11" s="21">
        <v>1226</v>
      </c>
      <c r="G11" s="21" t="s">
        <v>109</v>
      </c>
      <c r="H11" s="23" t="s">
        <v>107</v>
      </c>
    </row>
    <row r="12" spans="1:10" ht="21.95" customHeight="1" x14ac:dyDescent="0.25">
      <c r="A12" s="20">
        <v>5</v>
      </c>
      <c r="B12" s="21" t="s">
        <v>19</v>
      </c>
      <c r="C12" s="22" t="s">
        <v>20</v>
      </c>
      <c r="D12" s="23">
        <v>4</v>
      </c>
      <c r="E12" s="21">
        <v>4278</v>
      </c>
      <c r="F12" s="21">
        <v>1070</v>
      </c>
      <c r="G12" s="21" t="s">
        <v>110</v>
      </c>
      <c r="H12" s="23" t="s">
        <v>107</v>
      </c>
    </row>
    <row r="13" spans="1:10" ht="21.95" customHeight="1" x14ac:dyDescent="0.25">
      <c r="A13" s="20">
        <v>6</v>
      </c>
      <c r="B13" s="21" t="s">
        <v>50</v>
      </c>
      <c r="C13" s="22" t="s">
        <v>51</v>
      </c>
      <c r="D13" s="23">
        <v>4</v>
      </c>
      <c r="E13" s="21">
        <v>3632</v>
      </c>
      <c r="F13" s="21">
        <v>908</v>
      </c>
      <c r="G13" s="21" t="s">
        <v>111</v>
      </c>
      <c r="H13" s="23" t="s">
        <v>107</v>
      </c>
    </row>
    <row r="14" spans="1:10" ht="21.95" customHeight="1" x14ac:dyDescent="0.25">
      <c r="A14" s="20">
        <v>7</v>
      </c>
      <c r="B14" s="21" t="s">
        <v>55</v>
      </c>
      <c r="C14" s="22" t="s">
        <v>56</v>
      </c>
      <c r="D14" s="23">
        <v>4</v>
      </c>
      <c r="E14" s="21">
        <v>3580</v>
      </c>
      <c r="F14" s="21">
        <v>895</v>
      </c>
      <c r="G14" s="21" t="s">
        <v>108</v>
      </c>
      <c r="H14" s="23" t="s">
        <v>107</v>
      </c>
    </row>
    <row r="15" spans="1:10" ht="21.95" customHeight="1" x14ac:dyDescent="0.25">
      <c r="A15" s="20">
        <v>8</v>
      </c>
      <c r="B15" s="21" t="s">
        <v>34</v>
      </c>
      <c r="C15" s="22" t="s">
        <v>35</v>
      </c>
      <c r="D15" s="23">
        <v>4</v>
      </c>
      <c r="E15" s="21">
        <v>3095</v>
      </c>
      <c r="F15" s="21">
        <v>774</v>
      </c>
      <c r="G15" s="21" t="s">
        <v>109</v>
      </c>
      <c r="H15" s="23" t="s">
        <v>107</v>
      </c>
    </row>
    <row r="16" spans="1:10" ht="21.95" customHeight="1" x14ac:dyDescent="0.25">
      <c r="A16" s="24">
        <v>9</v>
      </c>
      <c r="B16" s="25" t="s">
        <v>78</v>
      </c>
      <c r="C16" s="26" t="s">
        <v>79</v>
      </c>
      <c r="D16" s="27">
        <v>3</v>
      </c>
      <c r="E16" s="25">
        <v>6808</v>
      </c>
      <c r="F16" s="25">
        <v>2269</v>
      </c>
      <c r="G16" s="25" t="s">
        <v>112</v>
      </c>
      <c r="H16" s="27" t="s">
        <v>113</v>
      </c>
    </row>
    <row r="17" spans="1:8" ht="21.95" customHeight="1" x14ac:dyDescent="0.25">
      <c r="A17" s="28">
        <v>10</v>
      </c>
      <c r="B17" s="29" t="s">
        <v>62</v>
      </c>
      <c r="C17" s="30" t="s">
        <v>63</v>
      </c>
      <c r="D17" s="31">
        <v>3</v>
      </c>
      <c r="E17" s="29">
        <v>5643</v>
      </c>
      <c r="F17" s="29">
        <v>1881</v>
      </c>
      <c r="G17" s="29" t="s">
        <v>114</v>
      </c>
      <c r="H17" s="31" t="s">
        <v>113</v>
      </c>
    </row>
    <row r="18" spans="1:8" ht="21.95" customHeight="1" x14ac:dyDescent="0.25">
      <c r="A18" s="24">
        <v>11</v>
      </c>
      <c r="B18" s="25" t="s">
        <v>36</v>
      </c>
      <c r="C18" s="26" t="s">
        <v>37</v>
      </c>
      <c r="D18" s="27">
        <v>3</v>
      </c>
      <c r="E18" s="25">
        <v>4709</v>
      </c>
      <c r="F18" s="25">
        <v>1570</v>
      </c>
      <c r="G18" s="25" t="s">
        <v>115</v>
      </c>
      <c r="H18" s="27" t="s">
        <v>113</v>
      </c>
    </row>
    <row r="19" spans="1:8" ht="21.95" customHeight="1" x14ac:dyDescent="0.25">
      <c r="A19" s="28">
        <v>12</v>
      </c>
      <c r="B19" s="29" t="s">
        <v>60</v>
      </c>
      <c r="C19" s="30" t="s">
        <v>61</v>
      </c>
      <c r="D19" s="31">
        <v>3</v>
      </c>
      <c r="E19" s="29">
        <v>3934</v>
      </c>
      <c r="F19" s="29">
        <v>1311</v>
      </c>
      <c r="G19" s="29" t="s">
        <v>114</v>
      </c>
      <c r="H19" s="31" t="s">
        <v>113</v>
      </c>
    </row>
    <row r="20" spans="1:8" ht="21.95" customHeight="1" x14ac:dyDescent="0.25">
      <c r="A20" s="24">
        <v>13</v>
      </c>
      <c r="B20" s="25" t="s">
        <v>68</v>
      </c>
      <c r="C20" s="26" t="s">
        <v>69</v>
      </c>
      <c r="D20" s="27">
        <v>3</v>
      </c>
      <c r="E20" s="25">
        <v>3766</v>
      </c>
      <c r="F20" s="25">
        <v>1255</v>
      </c>
      <c r="G20" s="25" t="s">
        <v>116</v>
      </c>
      <c r="H20" s="27" t="s">
        <v>113</v>
      </c>
    </row>
    <row r="21" spans="1:8" ht="21.95" customHeight="1" x14ac:dyDescent="0.25">
      <c r="A21" s="28">
        <v>14</v>
      </c>
      <c r="B21" s="29" t="s">
        <v>73</v>
      </c>
      <c r="C21" s="30" t="s">
        <v>74</v>
      </c>
      <c r="D21" s="31">
        <v>3</v>
      </c>
      <c r="E21" s="29">
        <v>3641</v>
      </c>
      <c r="F21" s="29">
        <v>1214</v>
      </c>
      <c r="G21" s="29" t="s">
        <v>117</v>
      </c>
      <c r="H21" s="31" t="s">
        <v>113</v>
      </c>
    </row>
    <row r="22" spans="1:8" ht="21.95" customHeight="1" x14ac:dyDescent="0.25">
      <c r="A22" s="24">
        <v>15</v>
      </c>
      <c r="B22" s="25" t="s">
        <v>45</v>
      </c>
      <c r="C22" s="26" t="s">
        <v>46</v>
      </c>
      <c r="D22" s="27">
        <v>3</v>
      </c>
      <c r="E22" s="25">
        <v>3636</v>
      </c>
      <c r="F22" s="25">
        <v>1212</v>
      </c>
      <c r="G22" s="25" t="s">
        <v>115</v>
      </c>
      <c r="H22" s="27" t="s">
        <v>113</v>
      </c>
    </row>
    <row r="23" spans="1:8" ht="21.95" customHeight="1" x14ac:dyDescent="0.25">
      <c r="A23" s="28">
        <v>16</v>
      </c>
      <c r="B23" s="29" t="s">
        <v>81</v>
      </c>
      <c r="C23" s="30" t="s">
        <v>82</v>
      </c>
      <c r="D23" s="31">
        <v>3</v>
      </c>
      <c r="E23" s="29">
        <v>3506</v>
      </c>
      <c r="F23" s="29">
        <v>1169</v>
      </c>
      <c r="G23" s="29" t="s">
        <v>112</v>
      </c>
      <c r="H23" s="31" t="s">
        <v>113</v>
      </c>
    </row>
    <row r="24" spans="1:8" ht="21.95" customHeight="1" x14ac:dyDescent="0.25">
      <c r="A24" s="24">
        <v>17</v>
      </c>
      <c r="B24" s="25" t="s">
        <v>71</v>
      </c>
      <c r="C24" s="26" t="s">
        <v>72</v>
      </c>
      <c r="D24" s="27">
        <v>3</v>
      </c>
      <c r="E24" s="25">
        <v>3369</v>
      </c>
      <c r="F24" s="25">
        <v>1123</v>
      </c>
      <c r="G24" s="25" t="s">
        <v>116</v>
      </c>
      <c r="H24" s="27" t="s">
        <v>113</v>
      </c>
    </row>
    <row r="25" spans="1:8" ht="21.95" customHeight="1" x14ac:dyDescent="0.25">
      <c r="A25" s="28">
        <v>18</v>
      </c>
      <c r="B25" s="29" t="s">
        <v>76</v>
      </c>
      <c r="C25" s="30" t="s">
        <v>77</v>
      </c>
      <c r="D25" s="31">
        <v>3</v>
      </c>
      <c r="E25" s="29">
        <v>3214</v>
      </c>
      <c r="F25" s="29">
        <v>1071</v>
      </c>
      <c r="G25" s="29" t="s">
        <v>117</v>
      </c>
      <c r="H25" s="31" t="s">
        <v>113</v>
      </c>
    </row>
    <row r="26" spans="1:8" ht="21.95" customHeight="1" x14ac:dyDescent="0.25">
      <c r="A26" s="24">
        <v>19</v>
      </c>
      <c r="B26" s="25" t="s">
        <v>64</v>
      </c>
      <c r="C26" s="26" t="s">
        <v>65</v>
      </c>
      <c r="D26" s="27">
        <v>3</v>
      </c>
      <c r="E26" s="25">
        <v>3105</v>
      </c>
      <c r="F26" s="25">
        <v>1035</v>
      </c>
      <c r="G26" s="25" t="s">
        <v>118</v>
      </c>
      <c r="H26" s="27" t="s">
        <v>113</v>
      </c>
    </row>
    <row r="27" spans="1:8" ht="21.95" customHeight="1" x14ac:dyDescent="0.25">
      <c r="A27" s="28">
        <v>20</v>
      </c>
      <c r="B27" s="29" t="s">
        <v>66</v>
      </c>
      <c r="C27" s="30" t="s">
        <v>67</v>
      </c>
      <c r="D27" s="31">
        <v>3</v>
      </c>
      <c r="E27" s="29">
        <v>3012</v>
      </c>
      <c r="F27" s="29">
        <v>1004</v>
      </c>
      <c r="G27" s="29" t="s">
        <v>118</v>
      </c>
      <c r="H27" s="31" t="s">
        <v>113</v>
      </c>
    </row>
    <row r="28" spans="1:8" ht="24" customHeight="1" x14ac:dyDescent="0.25">
      <c r="A28" s="40" t="s">
        <v>119</v>
      </c>
      <c r="B28" s="41"/>
      <c r="C28" s="42"/>
      <c r="D28" s="32">
        <f>SUM(D8:D27)</f>
        <v>70</v>
      </c>
      <c r="E28" s="32">
        <f>SUM(E8:E27)</f>
        <v>84115</v>
      </c>
      <c r="F28" s="32">
        <f>AVERAGE(F8:F27)</f>
        <v>1228.6500000000001</v>
      </c>
      <c r="G28" s="32"/>
      <c r="H28" s="32"/>
    </row>
    <row r="30" spans="1:8" ht="21.95" customHeight="1" x14ac:dyDescent="0.25">
      <c r="A30" s="33" t="s">
        <v>120</v>
      </c>
      <c r="B30" s="34"/>
      <c r="C30" s="34"/>
      <c r="D30" s="34"/>
      <c r="E30" s="34"/>
      <c r="F30" s="34"/>
      <c r="G30" s="34"/>
      <c r="H30" s="34"/>
    </row>
    <row r="31" spans="1:8" ht="20.100000000000001" customHeight="1" x14ac:dyDescent="0.25">
      <c r="A31" s="51" t="s">
        <v>105</v>
      </c>
      <c r="B31" s="34"/>
      <c r="C31" s="36" t="s">
        <v>121</v>
      </c>
      <c r="D31" s="34"/>
      <c r="E31" s="34"/>
      <c r="F31" s="34"/>
      <c r="G31" s="34"/>
      <c r="H31" s="34"/>
    </row>
    <row r="32" spans="1:8" ht="20.100000000000001" customHeight="1" x14ac:dyDescent="0.25">
      <c r="A32" s="48" t="s">
        <v>107</v>
      </c>
      <c r="B32" s="34"/>
      <c r="C32" s="43" t="s">
        <v>122</v>
      </c>
      <c r="D32" s="34"/>
      <c r="E32" s="34"/>
      <c r="F32" s="34"/>
      <c r="G32" s="34"/>
      <c r="H32" s="34"/>
    </row>
    <row r="33" spans="1:8" ht="20.100000000000001" customHeight="1" x14ac:dyDescent="0.25">
      <c r="A33" s="44" t="s">
        <v>113</v>
      </c>
      <c r="B33" s="34"/>
      <c r="C33" s="50" t="s">
        <v>123</v>
      </c>
      <c r="D33" s="34"/>
      <c r="E33" s="34"/>
      <c r="F33" s="34"/>
      <c r="G33" s="34"/>
      <c r="H33" s="34"/>
    </row>
  </sheetData>
  <mergeCells count="20">
    <mergeCell ref="I5:J5"/>
    <mergeCell ref="A4:B4"/>
    <mergeCell ref="G4:H4"/>
    <mergeCell ref="C33:H33"/>
    <mergeCell ref="I4:J4"/>
    <mergeCell ref="A31:B31"/>
    <mergeCell ref="C32:H32"/>
    <mergeCell ref="A33:B33"/>
    <mergeCell ref="A2:H2"/>
    <mergeCell ref="A5:B5"/>
    <mergeCell ref="G5:H5"/>
    <mergeCell ref="A32:B32"/>
    <mergeCell ref="A30:H30"/>
    <mergeCell ref="C5:D5"/>
    <mergeCell ref="C31:H31"/>
    <mergeCell ref="E5:F5"/>
    <mergeCell ref="A1:H1"/>
    <mergeCell ref="C4:D4"/>
    <mergeCell ref="E4:F4"/>
    <mergeCell ref="A28:C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abSelected="1" workbookViewId="0">
      <selection activeCell="J6" sqref="J6"/>
    </sheetView>
  </sheetViews>
  <sheetFormatPr defaultRowHeight="15" x14ac:dyDescent="0.25"/>
  <cols>
    <col min="1" max="1" width="9.140625" style="14" customWidth="1"/>
    <col min="2" max="16384" width="9.140625" style="14"/>
  </cols>
  <sheetData/>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
  <sheetViews>
    <sheetView workbookViewId="0">
      <selection activeCell="B10" sqref="B10"/>
    </sheetView>
  </sheetViews>
  <sheetFormatPr defaultRowHeight="15" x14ac:dyDescent="0.25"/>
  <cols>
    <col min="1" max="1" width="15" bestFit="1" customWidth="1"/>
    <col min="2" max="2" width="18.140625" bestFit="1" customWidth="1"/>
    <col min="4" max="4" width="13.42578125" bestFit="1" customWidth="1"/>
    <col min="5" max="5" width="18.140625" bestFit="1" customWidth="1"/>
    <col min="7" max="7" width="13.42578125" bestFit="1" customWidth="1"/>
    <col min="8" max="8" width="18.140625" bestFit="1" customWidth="1"/>
  </cols>
  <sheetData>
    <row r="1" spans="1:8" x14ac:dyDescent="0.25">
      <c r="A1" s="52" t="s">
        <v>124</v>
      </c>
      <c r="B1" s="34"/>
      <c r="D1" s="52" t="s">
        <v>125</v>
      </c>
      <c r="E1" s="34"/>
      <c r="G1" s="52" t="s">
        <v>126</v>
      </c>
      <c r="H1" s="34"/>
    </row>
    <row r="2" spans="1:8" x14ac:dyDescent="0.25">
      <c r="A2" s="12" t="s">
        <v>127</v>
      </c>
      <c r="B2" t="s">
        <v>128</v>
      </c>
      <c r="D2" s="12" t="s">
        <v>127</v>
      </c>
      <c r="E2" t="s">
        <v>128</v>
      </c>
      <c r="G2" s="12" t="s">
        <v>127</v>
      </c>
      <c r="H2" t="s">
        <v>128</v>
      </c>
    </row>
    <row r="3" spans="1:8" x14ac:dyDescent="0.25">
      <c r="A3" s="13" t="s">
        <v>43</v>
      </c>
      <c r="B3">
        <v>9643.9</v>
      </c>
      <c r="D3" s="13" t="s">
        <v>70</v>
      </c>
      <c r="E3" s="57">
        <v>3766.3500000000004</v>
      </c>
      <c r="G3" s="13" t="s">
        <v>129</v>
      </c>
      <c r="H3">
        <v>13163</v>
      </c>
    </row>
    <row r="4" spans="1:8" x14ac:dyDescent="0.25">
      <c r="A4" s="13" t="s">
        <v>17</v>
      </c>
      <c r="B4">
        <v>11601.75</v>
      </c>
      <c r="D4" s="13" t="s">
        <v>38</v>
      </c>
      <c r="E4" s="57">
        <v>11690.55</v>
      </c>
      <c r="G4" s="13" t="s">
        <v>130</v>
      </c>
      <c r="H4">
        <v>11216</v>
      </c>
    </row>
    <row r="5" spans="1:8" x14ac:dyDescent="0.25">
      <c r="A5" s="13" t="s">
        <v>23</v>
      </c>
      <c r="B5">
        <v>21433.5</v>
      </c>
      <c r="D5" s="13" t="s">
        <v>44</v>
      </c>
      <c r="E5" s="57">
        <v>4243.3999999999996</v>
      </c>
      <c r="G5" s="13" t="s">
        <v>131</v>
      </c>
      <c r="H5">
        <v>14775.85</v>
      </c>
    </row>
    <row r="6" spans="1:8" x14ac:dyDescent="0.25">
      <c r="A6" s="13" t="s">
        <v>33</v>
      </c>
      <c r="B6">
        <v>20034.45</v>
      </c>
      <c r="D6" s="13" t="s">
        <v>30</v>
      </c>
      <c r="E6" s="57">
        <v>18091.25</v>
      </c>
      <c r="G6" s="13" t="s">
        <v>132</v>
      </c>
      <c r="H6">
        <v>14031.45</v>
      </c>
    </row>
    <row r="7" spans="1:8" x14ac:dyDescent="0.25">
      <c r="A7" s="13" t="s">
        <v>29</v>
      </c>
      <c r="B7">
        <v>7538.4</v>
      </c>
      <c r="D7" s="13" t="s">
        <v>52</v>
      </c>
      <c r="E7" s="57">
        <v>3631.7000000000003</v>
      </c>
      <c r="G7" s="13" t="s">
        <v>133</v>
      </c>
      <c r="H7">
        <v>15063.7</v>
      </c>
    </row>
    <row r="8" spans="1:8" x14ac:dyDescent="0.25">
      <c r="A8" s="13" t="s">
        <v>49</v>
      </c>
      <c r="B8">
        <v>9228.4499999999989</v>
      </c>
      <c r="D8" s="13" t="s">
        <v>75</v>
      </c>
      <c r="E8" s="57">
        <v>3641.1499999999996</v>
      </c>
      <c r="G8" s="13" t="s">
        <v>134</v>
      </c>
      <c r="H8">
        <v>15867.15</v>
      </c>
    </row>
    <row r="9" spans="1:8" x14ac:dyDescent="0.25">
      <c r="A9" s="13" t="s">
        <v>59</v>
      </c>
      <c r="B9">
        <v>4636.7</v>
      </c>
      <c r="D9" s="13" t="s">
        <v>83</v>
      </c>
      <c r="E9" s="57">
        <v>3506.3999999999996</v>
      </c>
      <c r="G9" s="13" t="s">
        <v>135</v>
      </c>
      <c r="H9">
        <v>84117.15</v>
      </c>
    </row>
    <row r="10" spans="1:8" x14ac:dyDescent="0.25">
      <c r="A10" s="13" t="s">
        <v>135</v>
      </c>
      <c r="B10">
        <v>84117.15</v>
      </c>
      <c r="D10" s="13" t="s">
        <v>18</v>
      </c>
      <c r="E10" s="57">
        <v>13850.65</v>
      </c>
    </row>
    <row r="11" spans="1:8" x14ac:dyDescent="0.25">
      <c r="D11" s="13" t="s">
        <v>24</v>
      </c>
      <c r="E11" s="57">
        <v>14887.35</v>
      </c>
    </row>
    <row r="12" spans="1:8" x14ac:dyDescent="0.25">
      <c r="D12" s="13" t="s">
        <v>80</v>
      </c>
      <c r="E12" s="57">
        <v>6808.35</v>
      </c>
    </row>
    <row r="13" spans="1:8" x14ac:dyDescent="0.25">
      <c r="D13" s="13" t="s">
        <v>135</v>
      </c>
      <c r="E13" s="57">
        <v>84117.150000000009</v>
      </c>
    </row>
  </sheetData>
  <mergeCells count="3">
    <mergeCell ref="D1:E1"/>
    <mergeCell ref="G1:H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election activeCell="B4" sqref="B4"/>
    </sheetView>
  </sheetViews>
  <sheetFormatPr defaultRowHeight="15" x14ac:dyDescent="0.25"/>
  <cols>
    <col min="1" max="1" width="13.42578125" bestFit="1" customWidth="1"/>
    <col min="2" max="2" width="12" bestFit="1" customWidth="1"/>
  </cols>
  <sheetData>
    <row r="1" spans="1:2" x14ac:dyDescent="0.25">
      <c r="A1" s="53" t="s">
        <v>136</v>
      </c>
      <c r="B1" s="54"/>
    </row>
    <row r="2" spans="1:2" x14ac:dyDescent="0.25">
      <c r="A2" s="55"/>
      <c r="B2" s="56"/>
    </row>
    <row r="3" spans="1:2" x14ac:dyDescent="0.25">
      <c r="A3" s="6" t="s">
        <v>137</v>
      </c>
      <c r="B3" s="6">
        <f>SUM(Table1[Total_Sales])</f>
        <v>84117.150000000023</v>
      </c>
    </row>
    <row r="4" spans="1:2" x14ac:dyDescent="0.25">
      <c r="A4" s="6" t="s">
        <v>138</v>
      </c>
      <c r="B4" s="6">
        <f>AVERAGE(Table1[Total_Sales])</f>
        <v>1201.6735714285717</v>
      </c>
    </row>
    <row r="5" spans="1:2" x14ac:dyDescent="0.25">
      <c r="A5" s="6" t="s">
        <v>139</v>
      </c>
      <c r="B5" s="6">
        <f>SUM(Table1[quantity])</f>
        <v>129</v>
      </c>
    </row>
  </sheetData>
  <mergeCells count="1">
    <mergeCell ref="A1: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Report</vt:lpstr>
      <vt:lpstr>Dashboard</vt:lpstr>
      <vt:lpstr>pivot</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2026-05-22T18:48:10Z</dcterms:created>
  <dcterms:modified xsi:type="dcterms:W3CDTF">2026-05-24T09:38:26Z</dcterms:modified>
</cp:coreProperties>
</file>